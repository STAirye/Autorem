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mmaipu-my.sharepoint.com/personal/simon_tobar_maipu_cl/Documents/REM SM/2026/Junio/"/>
    </mc:Choice>
  </mc:AlternateContent>
  <xr:revisionPtr revIDLastSave="326" documentId="11_637D94BE414D20E93C21A3BF4142AA9A4C9B9660" xr6:coauthVersionLast="47" xr6:coauthVersionMax="47" xr10:uidLastSave="{E01194B3-D1BD-4298-A15A-A6C8F323CE0F}"/>
  <bookViews>
    <workbookView xWindow="-120" yWindow="-120" windowWidth="29040" windowHeight="15720" activeTab="5" xr2:uid="{00000000-000D-0000-FFFF-FFFF00000000}"/>
  </bookViews>
  <sheets>
    <sheet name="ANTIGUO" sheetId="1" r:id="rId1"/>
    <sheet name="NUEVO" sheetId="2" r:id="rId2"/>
    <sheet name="ALTAS" sheetId="8" r:id="rId3"/>
    <sheet name="CALCULO" sheetId="4" r:id="rId4"/>
    <sheet name="INGRESOS" sheetId="5" r:id="rId5"/>
    <sheet name="EGRESOS" sheetId="7" r:id="rId6"/>
    <sheet name="Hoja1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9" l="1"/>
  <c r="D51" i="9"/>
  <c r="C51" i="9"/>
  <c r="E50" i="9"/>
  <c r="D50" i="9"/>
  <c r="C50" i="9"/>
  <c r="E49" i="9"/>
  <c r="D49" i="9"/>
  <c r="C49" i="9"/>
  <c r="E48" i="9"/>
  <c r="D48" i="9"/>
  <c r="C48" i="9"/>
  <c r="E47" i="9"/>
  <c r="D47" i="9"/>
  <c r="C47" i="9"/>
  <c r="E46" i="9"/>
  <c r="D46" i="9"/>
  <c r="C46" i="9"/>
  <c r="E45" i="9"/>
  <c r="D45" i="9"/>
  <c r="C45" i="9"/>
  <c r="E44" i="9"/>
  <c r="D44" i="9"/>
  <c r="C44" i="9"/>
  <c r="E43" i="9"/>
  <c r="D43" i="9"/>
  <c r="C43" i="9" s="1"/>
  <c r="E42" i="9"/>
  <c r="D42" i="9"/>
  <c r="C42" i="9"/>
  <c r="E41" i="9"/>
  <c r="D41" i="9"/>
  <c r="C41" i="9"/>
  <c r="E40" i="9"/>
  <c r="D40" i="9"/>
  <c r="C40" i="9"/>
  <c r="E39" i="9"/>
  <c r="D39" i="9"/>
  <c r="C39" i="9"/>
  <c r="E38" i="9"/>
  <c r="D38" i="9"/>
  <c r="C38" i="9"/>
  <c r="E37" i="9"/>
  <c r="D37" i="9"/>
  <c r="C37" i="9"/>
  <c r="E36" i="9"/>
  <c r="D36" i="9"/>
  <c r="C36" i="9"/>
  <c r="E35" i="9"/>
  <c r="D35" i="9"/>
  <c r="C35" i="9"/>
  <c r="E34" i="9"/>
  <c r="D34" i="9"/>
  <c r="C34" i="9"/>
  <c r="E33" i="9"/>
  <c r="D33" i="9"/>
  <c r="C33" i="9"/>
  <c r="E32" i="9"/>
  <c r="D32" i="9"/>
  <c r="C32" i="9"/>
  <c r="E31" i="9"/>
  <c r="D31" i="9"/>
  <c r="C31" i="9" s="1"/>
  <c r="E30" i="9"/>
  <c r="D30" i="9"/>
  <c r="C30" i="9"/>
  <c r="E29" i="9"/>
  <c r="D29" i="9"/>
  <c r="C29" i="9"/>
  <c r="E28" i="9"/>
  <c r="D28" i="9"/>
  <c r="C28" i="9"/>
  <c r="E27" i="9"/>
  <c r="D27" i="9"/>
  <c r="C27" i="9" s="1"/>
  <c r="E26" i="9"/>
  <c r="D26" i="9"/>
  <c r="C26" i="9"/>
  <c r="E25" i="9"/>
  <c r="D25" i="9"/>
  <c r="C25" i="9"/>
  <c r="E24" i="9"/>
  <c r="D24" i="9"/>
  <c r="C24" i="9"/>
  <c r="E23" i="9"/>
  <c r="D23" i="9"/>
  <c r="C23" i="9" s="1"/>
  <c r="E22" i="9"/>
  <c r="D22" i="9"/>
  <c r="C22" i="9"/>
  <c r="E21" i="9"/>
  <c r="D21" i="9"/>
  <c r="C21" i="9"/>
  <c r="E20" i="9"/>
  <c r="D20" i="9"/>
  <c r="C20" i="9"/>
  <c r="E19" i="9"/>
  <c r="D19" i="9"/>
  <c r="C19" i="9" s="1"/>
  <c r="E18" i="9"/>
  <c r="C18" i="9"/>
  <c r="E17" i="9"/>
  <c r="D17" i="9"/>
  <c r="C17" i="9"/>
  <c r="E16" i="9"/>
  <c r="D16" i="9"/>
  <c r="C16" i="9"/>
  <c r="E15" i="9"/>
  <c r="D15" i="9"/>
  <c r="C15" i="9" s="1"/>
  <c r="D14" i="9"/>
  <c r="C14" i="9" s="1"/>
  <c r="E14" i="9"/>
  <c r="E13" i="9"/>
  <c r="D13" i="9"/>
  <c r="C13" i="9"/>
  <c r="E12" i="9"/>
  <c r="D12" i="9"/>
  <c r="C12" i="9"/>
  <c r="E10" i="9"/>
  <c r="D10" i="9"/>
  <c r="C10" i="9"/>
  <c r="E9" i="9"/>
  <c r="D9" i="9"/>
  <c r="C9" i="9" s="1"/>
  <c r="E8" i="9"/>
  <c r="D8" i="9"/>
  <c r="C8" i="9"/>
  <c r="E7" i="9"/>
  <c r="D7" i="9"/>
  <c r="C7" i="9"/>
  <c r="E6" i="9"/>
  <c r="D6" i="9"/>
  <c r="C6" i="9"/>
  <c r="E5" i="9"/>
  <c r="D5" i="9"/>
  <c r="C5" i="9" s="1"/>
  <c r="E3" i="9"/>
  <c r="AP38" i="7"/>
  <c r="AP39" i="7"/>
  <c r="AP41" i="7"/>
  <c r="AP43" i="7"/>
  <c r="AP44" i="7"/>
  <c r="AP45" i="7"/>
  <c r="AP46" i="7"/>
  <c r="AP47" i="7"/>
  <c r="AP48" i="7"/>
  <c r="AP49" i="7"/>
  <c r="AP50" i="7"/>
  <c r="AP51" i="7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R4" i="5"/>
  <c r="R5" i="5"/>
  <c r="D3" i="9" l="1"/>
  <c r="C3" i="9" s="1"/>
  <c r="AR8" i="7" l="1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R35" i="7"/>
  <c r="AR36" i="7"/>
  <c r="AR37" i="7"/>
  <c r="AR38" i="7"/>
  <c r="AR39" i="7"/>
  <c r="AR40" i="7"/>
  <c r="AR41" i="7"/>
  <c r="AR42" i="7"/>
  <c r="AR43" i="7"/>
  <c r="AR44" i="7"/>
  <c r="AR45" i="7"/>
  <c r="AR46" i="7"/>
  <c r="AR47" i="7"/>
  <c r="AR48" i="7"/>
  <c r="AR49" i="7"/>
  <c r="AR50" i="7"/>
  <c r="AR51" i="7"/>
  <c r="AR52" i="7"/>
  <c r="H6" i="4" l="1"/>
  <c r="I6" i="4"/>
  <c r="J6" i="4"/>
  <c r="K6" i="4"/>
  <c r="K6" i="5" s="1"/>
  <c r="L6" i="4"/>
  <c r="L6" i="5" s="1"/>
  <c r="M6" i="4"/>
  <c r="M6" i="5" s="1"/>
  <c r="N6" i="4"/>
  <c r="N6" i="5" s="1"/>
  <c r="O6" i="4"/>
  <c r="O6" i="5" s="1"/>
  <c r="P6" i="4"/>
  <c r="P6" i="5" s="1"/>
  <c r="Q6" i="4"/>
  <c r="Q6" i="5" s="1"/>
  <c r="R6" i="4"/>
  <c r="R6" i="5" s="1"/>
  <c r="S6" i="4"/>
  <c r="S6" i="5" s="1"/>
  <c r="T6" i="4"/>
  <c r="T6" i="5" s="1"/>
  <c r="U6" i="4"/>
  <c r="U6" i="5" s="1"/>
  <c r="V6" i="4"/>
  <c r="V6" i="5" s="1"/>
  <c r="W6" i="4"/>
  <c r="W6" i="5" s="1"/>
  <c r="X6" i="4"/>
  <c r="X6" i="5" s="1"/>
  <c r="Y6" i="4"/>
  <c r="Y6" i="5" s="1"/>
  <c r="Z6" i="4"/>
  <c r="Z6" i="5" s="1"/>
  <c r="AA6" i="4"/>
  <c r="AA6" i="5" s="1"/>
  <c r="AB6" i="4"/>
  <c r="AB6" i="5" s="1"/>
  <c r="AC6" i="4"/>
  <c r="AC6" i="5" s="1"/>
  <c r="AD6" i="4"/>
  <c r="AD6" i="5" s="1"/>
  <c r="AE6" i="4"/>
  <c r="AE6" i="5" s="1"/>
  <c r="AF6" i="4"/>
  <c r="AG6" i="4"/>
  <c r="AG6" i="5" s="1"/>
  <c r="AH6" i="4"/>
  <c r="AH6" i="5" s="1"/>
  <c r="AI6" i="4"/>
  <c r="AI6" i="5" s="1"/>
  <c r="AJ6" i="4"/>
  <c r="AJ6" i="5" s="1"/>
  <c r="AK6" i="4"/>
  <c r="AK6" i="5" s="1"/>
  <c r="AL6" i="4"/>
  <c r="AL6" i="5" s="1"/>
  <c r="AM6" i="4"/>
  <c r="AM6" i="5" s="1"/>
  <c r="AN6" i="4"/>
  <c r="AN6" i="5" s="1"/>
  <c r="AO6" i="4"/>
  <c r="AO6" i="5" s="1"/>
  <c r="AP6" i="4"/>
  <c r="AP6" i="5" s="1"/>
  <c r="AQ6" i="4"/>
  <c r="AQ6" i="5" s="1"/>
  <c r="AR6" i="4"/>
  <c r="AR6" i="5" s="1"/>
  <c r="AS6" i="4"/>
  <c r="AS6" i="5" s="1"/>
  <c r="AT6" i="4"/>
  <c r="AT6" i="5" s="1"/>
  <c r="AU6" i="4"/>
  <c r="AU6" i="5" s="1"/>
  <c r="AV6" i="4"/>
  <c r="AV6" i="5" s="1"/>
  <c r="AW6" i="4"/>
  <c r="AW6" i="5" s="1"/>
  <c r="AX6" i="4"/>
  <c r="H7" i="4"/>
  <c r="H7" i="5" s="1"/>
  <c r="I7" i="4"/>
  <c r="I7" i="5" s="1"/>
  <c r="J7" i="4"/>
  <c r="J7" i="5" s="1"/>
  <c r="K7" i="4"/>
  <c r="K7" i="5" s="1"/>
  <c r="L7" i="4"/>
  <c r="L7" i="5" s="1"/>
  <c r="M7" i="4"/>
  <c r="N7" i="4"/>
  <c r="N7" i="5" s="1"/>
  <c r="O7" i="4"/>
  <c r="O7" i="5" s="1"/>
  <c r="P7" i="4"/>
  <c r="P7" i="5" s="1"/>
  <c r="Q7" i="4"/>
  <c r="Q7" i="5" s="1"/>
  <c r="R7" i="4"/>
  <c r="R7" i="5" s="1"/>
  <c r="S7" i="4"/>
  <c r="S7" i="5" s="1"/>
  <c r="T7" i="4"/>
  <c r="T7" i="5" s="1"/>
  <c r="U7" i="4"/>
  <c r="U7" i="5" s="1"/>
  <c r="V7" i="4"/>
  <c r="V7" i="5" s="1"/>
  <c r="W7" i="4"/>
  <c r="W7" i="5" s="1"/>
  <c r="X7" i="4"/>
  <c r="X7" i="5" s="1"/>
  <c r="Y7" i="4"/>
  <c r="Y7" i="5" s="1"/>
  <c r="Z7" i="4"/>
  <c r="AA7" i="4"/>
  <c r="AA7" i="5" s="1"/>
  <c r="AB7" i="4"/>
  <c r="AB7" i="5" s="1"/>
  <c r="AC7" i="4"/>
  <c r="AC7" i="5" s="1"/>
  <c r="AD7" i="4"/>
  <c r="AD7" i="5" s="1"/>
  <c r="AE7" i="4"/>
  <c r="AE7" i="5" s="1"/>
  <c r="AF7" i="4"/>
  <c r="AF7" i="5" s="1"/>
  <c r="AG7" i="4"/>
  <c r="AG7" i="5" s="1"/>
  <c r="AH7" i="4"/>
  <c r="AH7" i="5" s="1"/>
  <c r="AI7" i="4"/>
  <c r="AI7" i="5" s="1"/>
  <c r="AJ7" i="4"/>
  <c r="AJ7" i="5" s="1"/>
  <c r="AK7" i="4"/>
  <c r="AK7" i="5" s="1"/>
  <c r="AL7" i="4"/>
  <c r="AM7" i="4"/>
  <c r="AM7" i="5" s="1"/>
  <c r="AN7" i="4"/>
  <c r="AN7" i="5" s="1"/>
  <c r="AO7" i="4"/>
  <c r="AO7" i="5" s="1"/>
  <c r="AP7" i="4"/>
  <c r="AP7" i="5" s="1"/>
  <c r="AQ7" i="4"/>
  <c r="AQ7" i="5" s="1"/>
  <c r="AR7" i="4"/>
  <c r="AR7" i="5" s="1"/>
  <c r="AS7" i="4"/>
  <c r="AS7" i="5" s="1"/>
  <c r="AT7" i="4"/>
  <c r="AT7" i="5" s="1"/>
  <c r="AU7" i="4"/>
  <c r="AU7" i="5" s="1"/>
  <c r="AV7" i="4"/>
  <c r="AV7" i="5" s="1"/>
  <c r="AW7" i="4"/>
  <c r="AW7" i="5" s="1"/>
  <c r="AX7" i="4"/>
  <c r="H8" i="4"/>
  <c r="H8" i="5" s="1"/>
  <c r="I8" i="4"/>
  <c r="I8" i="5" s="1"/>
  <c r="J8" i="4"/>
  <c r="J8" i="5" s="1"/>
  <c r="K8" i="4"/>
  <c r="K8" i="5" s="1"/>
  <c r="L8" i="4"/>
  <c r="L8" i="5" s="1"/>
  <c r="M8" i="4"/>
  <c r="M8" i="5" s="1"/>
  <c r="N8" i="4"/>
  <c r="N8" i="5" s="1"/>
  <c r="O8" i="4"/>
  <c r="O8" i="5" s="1"/>
  <c r="P8" i="4"/>
  <c r="P8" i="5" s="1"/>
  <c r="Q8" i="4"/>
  <c r="Q8" i="5" s="1"/>
  <c r="R8" i="4"/>
  <c r="R8" i="5" s="1"/>
  <c r="S8" i="4"/>
  <c r="S8" i="5" s="1"/>
  <c r="T8" i="4"/>
  <c r="T8" i="5" s="1"/>
  <c r="U8" i="4"/>
  <c r="U8" i="5" s="1"/>
  <c r="V8" i="4"/>
  <c r="V8" i="5" s="1"/>
  <c r="W8" i="4"/>
  <c r="W8" i="5" s="1"/>
  <c r="X8" i="4"/>
  <c r="X8" i="5" s="1"/>
  <c r="Y8" i="4"/>
  <c r="Y8" i="5" s="1"/>
  <c r="Z8" i="4"/>
  <c r="Z8" i="5" s="1"/>
  <c r="AA8" i="4"/>
  <c r="AA8" i="5" s="1"/>
  <c r="AB8" i="4"/>
  <c r="AB8" i="5" s="1"/>
  <c r="AC8" i="4"/>
  <c r="AC8" i="5" s="1"/>
  <c r="AD8" i="4"/>
  <c r="AD8" i="5" s="1"/>
  <c r="AE8" i="4"/>
  <c r="AE8" i="5" s="1"/>
  <c r="AF8" i="4"/>
  <c r="AF8" i="5" s="1"/>
  <c r="AG8" i="4"/>
  <c r="AG8" i="5" s="1"/>
  <c r="AH8" i="4"/>
  <c r="AH8" i="5" s="1"/>
  <c r="AI8" i="4"/>
  <c r="AI8" i="5" s="1"/>
  <c r="AJ8" i="4"/>
  <c r="AJ8" i="5" s="1"/>
  <c r="AK8" i="4"/>
  <c r="AK8" i="5" s="1"/>
  <c r="AL8" i="4"/>
  <c r="AL8" i="5" s="1"/>
  <c r="AM8" i="4"/>
  <c r="AM8" i="5" s="1"/>
  <c r="AN8" i="4"/>
  <c r="AN8" i="5" s="1"/>
  <c r="AO8" i="4"/>
  <c r="AO8" i="5" s="1"/>
  <c r="AP8" i="4"/>
  <c r="AP8" i="5" s="1"/>
  <c r="AQ8" i="4"/>
  <c r="AQ8" i="5" s="1"/>
  <c r="AR8" i="4"/>
  <c r="AR8" i="5" s="1"/>
  <c r="AS8" i="4"/>
  <c r="AS8" i="5" s="1"/>
  <c r="AT8" i="4"/>
  <c r="AT8" i="5" s="1"/>
  <c r="AU8" i="4"/>
  <c r="AU8" i="5" s="1"/>
  <c r="AV8" i="4"/>
  <c r="AV8" i="5" s="1"/>
  <c r="AW8" i="4"/>
  <c r="AW8" i="5" s="1"/>
  <c r="AX8" i="4"/>
  <c r="H9" i="4"/>
  <c r="H9" i="5" s="1"/>
  <c r="I9" i="4"/>
  <c r="I9" i="5" s="1"/>
  <c r="J9" i="4"/>
  <c r="J9" i="5" s="1"/>
  <c r="K9" i="4"/>
  <c r="K9" i="5" s="1"/>
  <c r="L9" i="4"/>
  <c r="L9" i="5" s="1"/>
  <c r="M9" i="4"/>
  <c r="M9" i="5" s="1"/>
  <c r="N9" i="4"/>
  <c r="N9" i="5" s="1"/>
  <c r="O9" i="4"/>
  <c r="O9" i="5" s="1"/>
  <c r="P9" i="4"/>
  <c r="P9" i="5" s="1"/>
  <c r="Q9" i="4"/>
  <c r="Q9" i="5" s="1"/>
  <c r="R9" i="4"/>
  <c r="R9" i="5" s="1"/>
  <c r="S9" i="4"/>
  <c r="S9" i="5" s="1"/>
  <c r="T9" i="4"/>
  <c r="T9" i="5" s="1"/>
  <c r="U9" i="4"/>
  <c r="U9" i="5" s="1"/>
  <c r="V9" i="4"/>
  <c r="V9" i="5" s="1"/>
  <c r="W9" i="4"/>
  <c r="W9" i="5" s="1"/>
  <c r="X9" i="4"/>
  <c r="X9" i="5" s="1"/>
  <c r="Y9" i="4"/>
  <c r="Y9" i="5" s="1"/>
  <c r="Z9" i="4"/>
  <c r="Z9" i="5" s="1"/>
  <c r="AA9" i="4"/>
  <c r="AA9" i="5" s="1"/>
  <c r="AB9" i="4"/>
  <c r="AB9" i="5" s="1"/>
  <c r="AC9" i="4"/>
  <c r="AC9" i="5" s="1"/>
  <c r="AD9" i="4"/>
  <c r="AD9" i="5" s="1"/>
  <c r="AE9" i="4"/>
  <c r="AE9" i="5" s="1"/>
  <c r="AF9" i="4"/>
  <c r="AF9" i="5" s="1"/>
  <c r="AG9" i="4"/>
  <c r="AG9" i="5" s="1"/>
  <c r="AH9" i="4"/>
  <c r="AH9" i="5" s="1"/>
  <c r="AI9" i="4"/>
  <c r="AI9" i="5" s="1"/>
  <c r="AJ9" i="4"/>
  <c r="AJ9" i="5" s="1"/>
  <c r="AK9" i="4"/>
  <c r="AK9" i="5" s="1"/>
  <c r="AL9" i="4"/>
  <c r="AL9" i="5" s="1"/>
  <c r="AM9" i="4"/>
  <c r="AM9" i="5" s="1"/>
  <c r="AN9" i="4"/>
  <c r="AN9" i="5" s="1"/>
  <c r="AO9" i="4"/>
  <c r="AO9" i="5" s="1"/>
  <c r="AP9" i="4"/>
  <c r="AP9" i="5" s="1"/>
  <c r="AQ9" i="4"/>
  <c r="AQ9" i="5" s="1"/>
  <c r="AR9" i="4"/>
  <c r="AR9" i="5" s="1"/>
  <c r="AS9" i="4"/>
  <c r="AS9" i="5" s="1"/>
  <c r="AT9" i="4"/>
  <c r="AT9" i="5" s="1"/>
  <c r="AU9" i="4"/>
  <c r="AU9" i="5" s="1"/>
  <c r="AV9" i="4"/>
  <c r="AV9" i="5" s="1"/>
  <c r="AW9" i="4"/>
  <c r="AW9" i="5" s="1"/>
  <c r="AX9" i="4"/>
  <c r="H10" i="4"/>
  <c r="H10" i="5" s="1"/>
  <c r="I10" i="4"/>
  <c r="I10" i="5" s="1"/>
  <c r="J10" i="4"/>
  <c r="J10" i="5" s="1"/>
  <c r="K10" i="4"/>
  <c r="K10" i="5" s="1"/>
  <c r="L10" i="4"/>
  <c r="L10" i="5" s="1"/>
  <c r="M10" i="4"/>
  <c r="M10" i="5" s="1"/>
  <c r="N10" i="4"/>
  <c r="N10" i="5" s="1"/>
  <c r="O10" i="4"/>
  <c r="O10" i="5" s="1"/>
  <c r="P10" i="4"/>
  <c r="P10" i="5" s="1"/>
  <c r="Q10" i="4"/>
  <c r="Q10" i="5" s="1"/>
  <c r="R10" i="4"/>
  <c r="R10" i="5" s="1"/>
  <c r="S10" i="4"/>
  <c r="S10" i="5" s="1"/>
  <c r="T10" i="4"/>
  <c r="T10" i="5" s="1"/>
  <c r="U10" i="4"/>
  <c r="U10" i="5" s="1"/>
  <c r="V10" i="4"/>
  <c r="V10" i="5" s="1"/>
  <c r="W10" i="4"/>
  <c r="W10" i="5" s="1"/>
  <c r="X10" i="4"/>
  <c r="X10" i="5" s="1"/>
  <c r="Y10" i="4"/>
  <c r="Y10" i="5" s="1"/>
  <c r="Z10" i="4"/>
  <c r="Z10" i="5" s="1"/>
  <c r="AA10" i="4"/>
  <c r="AA10" i="5" s="1"/>
  <c r="AB10" i="4"/>
  <c r="AB10" i="5" s="1"/>
  <c r="AC10" i="4"/>
  <c r="AC10" i="5" s="1"/>
  <c r="AD10" i="4"/>
  <c r="AD10" i="5" s="1"/>
  <c r="AE10" i="4"/>
  <c r="AE10" i="5" s="1"/>
  <c r="AF10" i="4"/>
  <c r="AF10" i="5" s="1"/>
  <c r="AG10" i="4"/>
  <c r="AG10" i="5" s="1"/>
  <c r="AH10" i="4"/>
  <c r="AH10" i="5" s="1"/>
  <c r="AI10" i="4"/>
  <c r="AI10" i="5" s="1"/>
  <c r="AJ10" i="4"/>
  <c r="AJ10" i="5" s="1"/>
  <c r="AK10" i="4"/>
  <c r="AK10" i="5" s="1"/>
  <c r="AL10" i="4"/>
  <c r="AL10" i="5" s="1"/>
  <c r="AM10" i="4"/>
  <c r="AM10" i="5" s="1"/>
  <c r="AN10" i="4"/>
  <c r="AN10" i="5" s="1"/>
  <c r="AO10" i="4"/>
  <c r="AO10" i="5" s="1"/>
  <c r="AP10" i="4"/>
  <c r="AP10" i="5" s="1"/>
  <c r="AQ10" i="4"/>
  <c r="AQ10" i="5" s="1"/>
  <c r="AR10" i="4"/>
  <c r="AR10" i="5" s="1"/>
  <c r="AS10" i="4"/>
  <c r="AS10" i="5" s="1"/>
  <c r="AT10" i="4"/>
  <c r="AT10" i="5" s="1"/>
  <c r="AU10" i="4"/>
  <c r="AU10" i="5" s="1"/>
  <c r="AV10" i="4"/>
  <c r="AV10" i="5" s="1"/>
  <c r="AW10" i="4"/>
  <c r="AW10" i="5" s="1"/>
  <c r="AX10" i="4"/>
  <c r="H11" i="4"/>
  <c r="H11" i="5" s="1"/>
  <c r="I11" i="4"/>
  <c r="J11" i="4"/>
  <c r="J11" i="5" s="1"/>
  <c r="K11" i="4"/>
  <c r="K11" i="5" s="1"/>
  <c r="L11" i="4"/>
  <c r="L11" i="5" s="1"/>
  <c r="M11" i="4"/>
  <c r="M11" i="5" s="1"/>
  <c r="N11" i="4"/>
  <c r="N11" i="5" s="1"/>
  <c r="O11" i="4"/>
  <c r="O11" i="5" s="1"/>
  <c r="P11" i="4"/>
  <c r="P11" i="5" s="1"/>
  <c r="Q11" i="4"/>
  <c r="Q11" i="5" s="1"/>
  <c r="R11" i="4"/>
  <c r="R11" i="5" s="1"/>
  <c r="S11" i="4"/>
  <c r="S11" i="5" s="1"/>
  <c r="T11" i="4"/>
  <c r="T11" i="5" s="1"/>
  <c r="U11" i="4"/>
  <c r="U11" i="5" s="1"/>
  <c r="V11" i="4"/>
  <c r="V11" i="5" s="1"/>
  <c r="W11" i="4"/>
  <c r="W11" i="5" s="1"/>
  <c r="X11" i="4"/>
  <c r="X11" i="5" s="1"/>
  <c r="Y11" i="4"/>
  <c r="Y11" i="5" s="1"/>
  <c r="Z11" i="4"/>
  <c r="Z11" i="5" s="1"/>
  <c r="AA11" i="4"/>
  <c r="AA11" i="5" s="1"/>
  <c r="AB11" i="4"/>
  <c r="AB11" i="5" s="1"/>
  <c r="AC11" i="4"/>
  <c r="AC11" i="5" s="1"/>
  <c r="AD11" i="4"/>
  <c r="AD11" i="5" s="1"/>
  <c r="AE11" i="4"/>
  <c r="AE11" i="5" s="1"/>
  <c r="AF11" i="4"/>
  <c r="AF11" i="5" s="1"/>
  <c r="AG11" i="4"/>
  <c r="AH11" i="4"/>
  <c r="AH11" i="5" s="1"/>
  <c r="AI11" i="4"/>
  <c r="AI11" i="5" s="1"/>
  <c r="AJ11" i="4"/>
  <c r="AJ11" i="5" s="1"/>
  <c r="AK11" i="4"/>
  <c r="AK11" i="5" s="1"/>
  <c r="AL11" i="4"/>
  <c r="AL11" i="5" s="1"/>
  <c r="AM11" i="4"/>
  <c r="AM11" i="5" s="1"/>
  <c r="AN11" i="4"/>
  <c r="AN11" i="5" s="1"/>
  <c r="AO11" i="4"/>
  <c r="AO11" i="5" s="1"/>
  <c r="AP11" i="4"/>
  <c r="AP11" i="5" s="1"/>
  <c r="AQ11" i="4"/>
  <c r="AQ11" i="5" s="1"/>
  <c r="AR11" i="4"/>
  <c r="AR11" i="5" s="1"/>
  <c r="AS11" i="4"/>
  <c r="AT11" i="4"/>
  <c r="AT11" i="5" s="1"/>
  <c r="AU11" i="4"/>
  <c r="AU11" i="5" s="1"/>
  <c r="AV11" i="4"/>
  <c r="AV11" i="5" s="1"/>
  <c r="AW11" i="4"/>
  <c r="AW11" i="5" s="1"/>
  <c r="AX11" i="4"/>
  <c r="G8" i="4"/>
  <c r="G9" i="4"/>
  <c r="G10" i="4"/>
  <c r="G11" i="4"/>
  <c r="F8" i="4"/>
  <c r="F9" i="4"/>
  <c r="F10" i="4"/>
  <c r="F11" i="4"/>
  <c r="H6" i="5"/>
  <c r="I6" i="5"/>
  <c r="J6" i="5"/>
  <c r="AF6" i="5"/>
  <c r="M7" i="5"/>
  <c r="Z7" i="5"/>
  <c r="AL7" i="5"/>
  <c r="I11" i="5"/>
  <c r="AG11" i="5"/>
  <c r="AS11" i="5"/>
  <c r="AQ21" i="7" l="1"/>
  <c r="AP21" i="7" s="1"/>
  <c r="AQ22" i="7"/>
  <c r="AP22" i="7" s="1"/>
  <c r="AQ23" i="7"/>
  <c r="AP23" i="7" s="1"/>
  <c r="AQ24" i="7"/>
  <c r="AQ25" i="7"/>
  <c r="AQ26" i="7"/>
  <c r="AQ27" i="7"/>
  <c r="AQ28" i="7"/>
  <c r="AQ29" i="7"/>
  <c r="AQ30" i="7"/>
  <c r="AQ31" i="7"/>
  <c r="AQ32" i="7"/>
  <c r="AQ33" i="7"/>
  <c r="AQ34" i="7"/>
  <c r="AQ35" i="7"/>
  <c r="AQ36" i="7"/>
  <c r="AQ37" i="7"/>
  <c r="AQ38" i="7"/>
  <c r="AQ39" i="7"/>
  <c r="AQ40" i="7"/>
  <c r="AP40" i="7" s="1"/>
  <c r="AQ41" i="7"/>
  <c r="AQ42" i="7"/>
  <c r="AQ43" i="7"/>
  <c r="AQ44" i="7"/>
  <c r="AQ45" i="7"/>
  <c r="AQ46" i="7"/>
  <c r="AQ47" i="7"/>
  <c r="AQ48" i="7"/>
  <c r="AQ49" i="7"/>
  <c r="AQ50" i="7"/>
  <c r="AQ51" i="7"/>
  <c r="AQ52" i="7"/>
  <c r="AQ8" i="7"/>
  <c r="AQ9" i="7"/>
  <c r="AQ10" i="7"/>
  <c r="AQ11" i="7"/>
  <c r="AQ12" i="7"/>
  <c r="AQ13" i="7"/>
  <c r="AQ14" i="7"/>
  <c r="AQ15" i="7"/>
  <c r="AQ16" i="7"/>
  <c r="AQ17" i="7"/>
  <c r="AQ18" i="7"/>
  <c r="AQ19" i="7"/>
  <c r="AQ20" i="7"/>
  <c r="AR7" i="7"/>
  <c r="AQ7" i="7"/>
  <c r="AR6" i="7"/>
  <c r="AR4" i="7" s="1"/>
  <c r="AQ6" i="7"/>
  <c r="AQ4" i="7" l="1"/>
  <c r="BG6" i="7"/>
  <c r="BH6" i="7"/>
  <c r="BG54" i="7"/>
  <c r="BH54" i="7"/>
  <c r="BG55" i="7"/>
  <c r="BH55" i="7"/>
  <c r="BG56" i="7"/>
  <c r="BH56" i="7"/>
  <c r="AY7" i="7"/>
  <c r="AY8" i="7"/>
  <c r="AY9" i="7"/>
  <c r="AY10" i="7"/>
  <c r="AZ5" i="7" l="1"/>
  <c r="E11" i="4" l="1"/>
  <c r="D11" i="4"/>
  <c r="D10" i="4"/>
  <c r="E9" i="4"/>
  <c r="D9" i="4"/>
  <c r="C9" i="4"/>
  <c r="E8" i="4"/>
  <c r="E7" i="4"/>
  <c r="E6" i="4"/>
  <c r="C11" i="4" l="1"/>
  <c r="C10" i="4"/>
  <c r="E10" i="4"/>
  <c r="D7" i="4"/>
  <c r="C8" i="4"/>
  <c r="D8" i="4"/>
  <c r="D6" i="4"/>
  <c r="D10" i="5" l="1"/>
  <c r="E10" i="5"/>
  <c r="F10" i="5"/>
  <c r="I10" i="7"/>
  <c r="N10" i="7"/>
  <c r="O10" i="7"/>
  <c r="S10" i="7"/>
  <c r="T10" i="7"/>
  <c r="U10" i="7"/>
  <c r="V10" i="7"/>
  <c r="Z10" i="7"/>
  <c r="AE10" i="7"/>
  <c r="AF10" i="7"/>
  <c r="AG10" i="7"/>
  <c r="AH10" i="7"/>
  <c r="AL10" i="7"/>
  <c r="D11" i="5"/>
  <c r="E11" i="5"/>
  <c r="H11" i="7"/>
  <c r="I11" i="7"/>
  <c r="J11" i="7"/>
  <c r="L11" i="7"/>
  <c r="M11" i="7"/>
  <c r="N11" i="7"/>
  <c r="O11" i="7"/>
  <c r="P11" i="7"/>
  <c r="R11" i="7"/>
  <c r="S11" i="7"/>
  <c r="V11" i="7"/>
  <c r="X11" i="7"/>
  <c r="Y11" i="7"/>
  <c r="Z11" i="7"/>
  <c r="AA11" i="7"/>
  <c r="AG11" i="7"/>
  <c r="AH11" i="7"/>
  <c r="AJ11" i="7"/>
  <c r="AK11" i="7"/>
  <c r="AL11" i="7"/>
  <c r="AM11" i="7"/>
  <c r="AN11" i="7"/>
  <c r="D8" i="5"/>
  <c r="D9" i="5"/>
  <c r="E8" i="5"/>
  <c r="E9" i="5"/>
  <c r="F8" i="5"/>
  <c r="H9" i="7"/>
  <c r="G8" i="5"/>
  <c r="G9" i="5"/>
  <c r="L8" i="7"/>
  <c r="L9" i="7"/>
  <c r="M8" i="7"/>
  <c r="M9" i="7"/>
  <c r="N8" i="7"/>
  <c r="N9" i="7"/>
  <c r="O8" i="7"/>
  <c r="P9" i="7"/>
  <c r="Q9" i="7"/>
  <c r="R8" i="7"/>
  <c r="R9" i="7"/>
  <c r="S8" i="7"/>
  <c r="T8" i="7"/>
  <c r="U8" i="7"/>
  <c r="V8" i="7"/>
  <c r="V9" i="7"/>
  <c r="W9" i="7"/>
  <c r="X8" i="7"/>
  <c r="X9" i="7"/>
  <c r="Y8" i="7"/>
  <c r="Z8" i="7"/>
  <c r="AA8" i="7"/>
  <c r="AB8" i="7"/>
  <c r="AB9" i="7"/>
  <c r="AC9" i="7"/>
  <c r="AD8" i="7"/>
  <c r="AD9" i="7"/>
  <c r="AE8" i="7"/>
  <c r="AF8" i="7"/>
  <c r="AG8" i="7"/>
  <c r="AH8" i="7"/>
  <c r="AH9" i="7"/>
  <c r="AI9" i="7"/>
  <c r="AJ8" i="7"/>
  <c r="AJ9" i="7"/>
  <c r="AK8" i="7"/>
  <c r="AL8" i="7"/>
  <c r="AM8" i="7"/>
  <c r="AN8" i="7"/>
  <c r="AN9" i="7"/>
  <c r="AO9" i="7"/>
  <c r="AX8" i="7" l="1"/>
  <c r="AW9" i="7"/>
  <c r="AW8" i="7"/>
  <c r="AT10" i="7"/>
  <c r="BH10" i="7"/>
  <c r="BH9" i="7"/>
  <c r="BG12" i="7"/>
  <c r="AS9" i="7"/>
  <c r="AS8" i="7"/>
  <c r="BH11" i="7"/>
  <c r="BG10" i="7"/>
  <c r="AZ9" i="7" s="1"/>
  <c r="BH12" i="7"/>
  <c r="BG11" i="7"/>
  <c r="BG9" i="7"/>
  <c r="AV8" i="7"/>
  <c r="AX10" i="7"/>
  <c r="AT8" i="7"/>
  <c r="AV10" i="7"/>
  <c r="AU10" i="7"/>
  <c r="AU8" i="7"/>
  <c r="AX11" i="7"/>
  <c r="AW10" i="7"/>
  <c r="AX9" i="7"/>
  <c r="AW11" i="7"/>
  <c r="AI11" i="7"/>
  <c r="AI10" i="7"/>
  <c r="AA9" i="7"/>
  <c r="AC11" i="7"/>
  <c r="Y10" i="7"/>
  <c r="U9" i="7"/>
  <c r="AT9" i="7"/>
  <c r="AB11" i="7"/>
  <c r="X10" i="7"/>
  <c r="T9" i="7"/>
  <c r="AU9" i="7"/>
  <c r="W11" i="7"/>
  <c r="W10" i="7"/>
  <c r="S9" i="7"/>
  <c r="Q11" i="7"/>
  <c r="M10" i="7"/>
  <c r="O9" i="7"/>
  <c r="L10" i="7"/>
  <c r="I9" i="7"/>
  <c r="K11" i="7"/>
  <c r="K10" i="7"/>
  <c r="AO8" i="7"/>
  <c r="AU11" i="7"/>
  <c r="AT11" i="7"/>
  <c r="AS10" i="7"/>
  <c r="AV9" i="7"/>
  <c r="G10" i="5"/>
  <c r="H8" i="7"/>
  <c r="AM9" i="7"/>
  <c r="AC8" i="7"/>
  <c r="AG9" i="7"/>
  <c r="AS11" i="7"/>
  <c r="AO11" i="7"/>
  <c r="AK10" i="7"/>
  <c r="AF9" i="7"/>
  <c r="Q8" i="7"/>
  <c r="AJ10" i="7"/>
  <c r="AE9" i="7"/>
  <c r="P8" i="7"/>
  <c r="F11" i="5"/>
  <c r="G11" i="5"/>
  <c r="AD10" i="7"/>
  <c r="R10" i="7"/>
  <c r="AL9" i="7"/>
  <c r="Z9" i="7"/>
  <c r="J8" i="7"/>
  <c r="F9" i="5"/>
  <c r="AV11" i="7"/>
  <c r="U11" i="7"/>
  <c r="AO10" i="7"/>
  <c r="AC10" i="7"/>
  <c r="Q10" i="7"/>
  <c r="AK9" i="7"/>
  <c r="Y9" i="7"/>
  <c r="I8" i="7"/>
  <c r="AI8" i="7"/>
  <c r="K8" i="7"/>
  <c r="AF11" i="7"/>
  <c r="T11" i="7"/>
  <c r="AN10" i="7"/>
  <c r="AB10" i="7"/>
  <c r="P10" i="7"/>
  <c r="W8" i="7"/>
  <c r="H10" i="7"/>
  <c r="AE11" i="7"/>
  <c r="AM10" i="7"/>
  <c r="AA10" i="7"/>
  <c r="K9" i="7"/>
  <c r="AD11" i="7"/>
  <c r="J9" i="7"/>
  <c r="J10" i="7"/>
  <c r="AZ8" i="7" l="1"/>
  <c r="AZ10" i="7"/>
  <c r="AZ11" i="7"/>
  <c r="C10" i="5"/>
  <c r="C8" i="5"/>
  <c r="C11" i="5"/>
  <c r="C9" i="5"/>
  <c r="E11" i="7"/>
  <c r="E10" i="7"/>
  <c r="E9" i="7"/>
  <c r="E8" i="7"/>
  <c r="AP10" i="7" l="1"/>
  <c r="G10" i="7" s="1"/>
  <c r="AP9" i="7"/>
  <c r="F9" i="7" s="1"/>
  <c r="AP8" i="7"/>
  <c r="G8" i="7" s="1"/>
  <c r="AP11" i="7"/>
  <c r="F11" i="7" s="1"/>
  <c r="Q5" i="5"/>
  <c r="P5" i="5"/>
  <c r="O5" i="5"/>
  <c r="N5" i="5"/>
  <c r="M5" i="5"/>
  <c r="L5" i="5"/>
  <c r="K5" i="5"/>
  <c r="J5" i="5"/>
  <c r="I5" i="5"/>
  <c r="H5" i="5"/>
  <c r="G5" i="5"/>
  <c r="F5" i="5"/>
  <c r="G9" i="7" l="1"/>
  <c r="F10" i="7"/>
  <c r="G11" i="7"/>
  <c r="F8" i="7"/>
  <c r="BC6" i="7"/>
  <c r="AY52" i="7"/>
  <c r="BB6" i="7"/>
  <c r="AX5" i="7"/>
  <c r="AW5" i="7"/>
  <c r="AU5" i="7"/>
  <c r="AT5" i="7"/>
  <c r="AS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AV5" i="7"/>
  <c r="G5" i="7"/>
  <c r="F5" i="7"/>
  <c r="E5" i="5"/>
  <c r="AY5" i="7" l="1"/>
  <c r="E5" i="7"/>
  <c r="BE5" i="5" l="1"/>
  <c r="C5" i="5" l="1"/>
  <c r="BG7" i="7"/>
  <c r="BH7" i="7"/>
  <c r="BG8" i="7"/>
  <c r="BH8" i="7"/>
  <c r="AW12" i="4"/>
  <c r="BG13" i="7" s="1"/>
  <c r="AX12" i="4"/>
  <c r="C13" i="4"/>
  <c r="D13" i="4"/>
  <c r="F13" i="7" s="1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W13" i="7" s="1"/>
  <c r="AU13" i="4"/>
  <c r="AX13" i="7" s="1"/>
  <c r="AV13" i="4"/>
  <c r="BE13" i="5" s="1"/>
  <c r="AW13" i="4"/>
  <c r="AX13" i="4"/>
  <c r="C14" i="4"/>
  <c r="D14" i="4"/>
  <c r="F14" i="7" s="1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W14" i="7" s="1"/>
  <c r="AU14" i="4"/>
  <c r="AX14" i="7" s="1"/>
  <c r="AV14" i="4"/>
  <c r="BE14" i="5" s="1"/>
  <c r="AW14" i="4"/>
  <c r="AX14" i="4"/>
  <c r="C15" i="4"/>
  <c r="D15" i="4"/>
  <c r="F15" i="7" s="1"/>
  <c r="E15" i="4"/>
  <c r="G15" i="7" s="1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W15" i="7" s="1"/>
  <c r="AU15" i="4"/>
  <c r="AX15" i="7" s="1"/>
  <c r="AV15" i="4"/>
  <c r="BE15" i="5" s="1"/>
  <c r="AW15" i="4"/>
  <c r="AX15" i="4"/>
  <c r="C16" i="4"/>
  <c r="D16" i="4"/>
  <c r="F16" i="7" s="1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BE16" i="5" s="1"/>
  <c r="AW16" i="4"/>
  <c r="AX16" i="4"/>
  <c r="C17" i="4"/>
  <c r="D17" i="4"/>
  <c r="F17" i="7" s="1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BE17" i="5" s="1"/>
  <c r="AW17" i="4"/>
  <c r="AX17" i="4"/>
  <c r="C18" i="4"/>
  <c r="D18" i="4"/>
  <c r="F18" i="7" s="1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BE18" i="5" s="1"/>
  <c r="AW18" i="4"/>
  <c r="AX18" i="4"/>
  <c r="C19" i="4"/>
  <c r="D19" i="4"/>
  <c r="F19" i="7" s="1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BE19" i="5" s="1"/>
  <c r="AW19" i="4"/>
  <c r="AX19" i="4"/>
  <c r="C20" i="4"/>
  <c r="D20" i="4"/>
  <c r="F20" i="7" s="1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BE20" i="5" s="1"/>
  <c r="AW20" i="4"/>
  <c r="AX20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BE24" i="5" s="1"/>
  <c r="AW21" i="4"/>
  <c r="AX21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BE25" i="5" s="1"/>
  <c r="AW22" i="4"/>
  <c r="AX22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BE26" i="5" s="1"/>
  <c r="AW23" i="4"/>
  <c r="AX23" i="4"/>
  <c r="C24" i="4"/>
  <c r="D24" i="4"/>
  <c r="F27" i="7" s="1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BE27" i="5" s="1"/>
  <c r="AW24" i="4"/>
  <c r="AX24" i="4"/>
  <c r="C25" i="4"/>
  <c r="D25" i="4"/>
  <c r="F28" i="7" s="1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BE28" i="5" s="1"/>
  <c r="AW25" i="4"/>
  <c r="AX25" i="4"/>
  <c r="C26" i="4"/>
  <c r="D26" i="4"/>
  <c r="F29" i="7" s="1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BE29" i="5" s="1"/>
  <c r="AW26" i="4"/>
  <c r="AX26" i="4"/>
  <c r="C27" i="4"/>
  <c r="D27" i="4"/>
  <c r="F30" i="7" s="1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BE30" i="5" s="1"/>
  <c r="AW27" i="4"/>
  <c r="AX27" i="4"/>
  <c r="C28" i="4"/>
  <c r="D28" i="4"/>
  <c r="F31" i="7" s="1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BE31" i="5" s="1"/>
  <c r="AW28" i="4"/>
  <c r="AX28" i="4"/>
  <c r="C29" i="4"/>
  <c r="D29" i="4"/>
  <c r="F32" i="7" s="1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BE32" i="5" s="1"/>
  <c r="AW29" i="4"/>
  <c r="AX29" i="4"/>
  <c r="C30" i="4"/>
  <c r="D30" i="4"/>
  <c r="F33" i="7" s="1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BE33" i="5" s="1"/>
  <c r="AW30" i="4"/>
  <c r="AX30" i="4"/>
  <c r="C31" i="4"/>
  <c r="D31" i="4"/>
  <c r="F34" i="7" s="1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BE34" i="5" s="1"/>
  <c r="AW31" i="4"/>
  <c r="AX31" i="4"/>
  <c r="C32" i="4"/>
  <c r="D32" i="4"/>
  <c r="F35" i="7" s="1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BE35" i="5" s="1"/>
  <c r="AW32" i="4"/>
  <c r="AX32" i="4"/>
  <c r="C33" i="4"/>
  <c r="D33" i="4"/>
  <c r="F36" i="7" s="1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AS33" i="4"/>
  <c r="AT33" i="4"/>
  <c r="AU33" i="4"/>
  <c r="AV33" i="4"/>
  <c r="BE36" i="5" s="1"/>
  <c r="AW33" i="4"/>
  <c r="AX33" i="4"/>
  <c r="C34" i="4"/>
  <c r="D34" i="4"/>
  <c r="F37" i="7" s="1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BE37" i="5" s="1"/>
  <c r="AW34" i="4"/>
  <c r="AX34" i="4"/>
  <c r="C35" i="4"/>
  <c r="D35" i="4"/>
  <c r="F38" i="7" s="1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BE38" i="5" s="1"/>
  <c r="AW35" i="4"/>
  <c r="AX35" i="4"/>
  <c r="C36" i="4"/>
  <c r="D36" i="4"/>
  <c r="F39" i="7" s="1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BE39" i="5" s="1"/>
  <c r="AW36" i="4"/>
  <c r="AX36" i="4"/>
  <c r="C37" i="4"/>
  <c r="D37" i="4"/>
  <c r="F40" i="7" s="1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BE40" i="5" s="1"/>
  <c r="AW37" i="4"/>
  <c r="AX37" i="4"/>
  <c r="C38" i="4"/>
  <c r="D38" i="4"/>
  <c r="F41" i="7" s="1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V38" i="4"/>
  <c r="BE41" i="5" s="1"/>
  <c r="AW38" i="4"/>
  <c r="AX38" i="4"/>
  <c r="C39" i="4"/>
  <c r="D39" i="4"/>
  <c r="F42" i="7" s="1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BE42" i="5" s="1"/>
  <c r="AW39" i="4"/>
  <c r="AX39" i="4"/>
  <c r="C40" i="4"/>
  <c r="D40" i="4"/>
  <c r="F43" i="7" s="1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AP40" i="4"/>
  <c r="AQ40" i="4"/>
  <c r="AR40" i="4"/>
  <c r="AS40" i="4"/>
  <c r="AT40" i="4"/>
  <c r="AU40" i="4"/>
  <c r="AV40" i="4"/>
  <c r="BE43" i="5" s="1"/>
  <c r="AW40" i="4"/>
  <c r="AX40" i="4"/>
  <c r="C41" i="4"/>
  <c r="D41" i="4"/>
  <c r="F44" i="7" s="1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O41" i="4"/>
  <c r="AP41" i="4"/>
  <c r="AQ41" i="4"/>
  <c r="AR41" i="4"/>
  <c r="AS41" i="4"/>
  <c r="AT41" i="4"/>
  <c r="AU41" i="4"/>
  <c r="AV41" i="4"/>
  <c r="BE44" i="5" s="1"/>
  <c r="AW41" i="4"/>
  <c r="AX41" i="4"/>
  <c r="C42" i="4"/>
  <c r="D42" i="4"/>
  <c r="F45" i="7" s="1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O42" i="4"/>
  <c r="AP42" i="4"/>
  <c r="AQ42" i="4"/>
  <c r="AR42" i="4"/>
  <c r="AS42" i="4"/>
  <c r="AT42" i="4"/>
  <c r="AU42" i="4"/>
  <c r="AV42" i="4"/>
  <c r="BE45" i="5" s="1"/>
  <c r="AW42" i="4"/>
  <c r="AX42" i="4"/>
  <c r="C43" i="4"/>
  <c r="D43" i="4"/>
  <c r="F46" i="7" s="1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AP43" i="4"/>
  <c r="AQ43" i="4"/>
  <c r="AR43" i="4"/>
  <c r="AS43" i="4"/>
  <c r="AT43" i="4"/>
  <c r="AU43" i="4"/>
  <c r="AV43" i="4"/>
  <c r="BE46" i="5" s="1"/>
  <c r="AW43" i="4"/>
  <c r="AX43" i="4"/>
  <c r="C44" i="4"/>
  <c r="D44" i="4"/>
  <c r="F47" i="7" s="1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AP44" i="4"/>
  <c r="AQ44" i="4"/>
  <c r="AR44" i="4"/>
  <c r="AS44" i="4"/>
  <c r="AT44" i="4"/>
  <c r="AU44" i="4"/>
  <c r="AV44" i="4"/>
  <c r="BE47" i="5" s="1"/>
  <c r="AW44" i="4"/>
  <c r="AX44" i="4"/>
  <c r="C45" i="4"/>
  <c r="D45" i="4"/>
  <c r="F48" i="7" s="1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AP45" i="4"/>
  <c r="AQ45" i="4"/>
  <c r="AR45" i="4"/>
  <c r="AS45" i="4"/>
  <c r="AT45" i="4"/>
  <c r="AU45" i="4"/>
  <c r="AV45" i="4"/>
  <c r="BE48" i="5" s="1"/>
  <c r="AW45" i="4"/>
  <c r="AX45" i="4"/>
  <c r="C46" i="4"/>
  <c r="D46" i="4"/>
  <c r="F49" i="7" s="1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O46" i="4"/>
  <c r="AP46" i="4"/>
  <c r="AQ46" i="4"/>
  <c r="AR46" i="4"/>
  <c r="AS46" i="4"/>
  <c r="AT46" i="4"/>
  <c r="AU46" i="4"/>
  <c r="AV46" i="4"/>
  <c r="BE49" i="5" s="1"/>
  <c r="AW46" i="4"/>
  <c r="AX46" i="4"/>
  <c r="C47" i="4"/>
  <c r="D47" i="4"/>
  <c r="F50" i="7" s="1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AM47" i="4"/>
  <c r="AN47" i="4"/>
  <c r="AO47" i="4"/>
  <c r="AP47" i="4"/>
  <c r="AQ47" i="4"/>
  <c r="AR47" i="4"/>
  <c r="AS47" i="4"/>
  <c r="AT47" i="4"/>
  <c r="AU47" i="4"/>
  <c r="AV47" i="4"/>
  <c r="BE50" i="5" s="1"/>
  <c r="AW47" i="4"/>
  <c r="AX47" i="4"/>
  <c r="C48" i="4"/>
  <c r="D48" i="4"/>
  <c r="F51" i="7" s="1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AP48" i="4"/>
  <c r="AQ48" i="4"/>
  <c r="AR48" i="4"/>
  <c r="AS48" i="4"/>
  <c r="AT48" i="4"/>
  <c r="AU48" i="4"/>
  <c r="AV48" i="4"/>
  <c r="BE51" i="5" s="1"/>
  <c r="AW48" i="4"/>
  <c r="AX48" i="4"/>
  <c r="C49" i="4"/>
  <c r="D49" i="4"/>
  <c r="F52" i="7" s="1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O49" i="4"/>
  <c r="AP49" i="4"/>
  <c r="AQ49" i="4"/>
  <c r="AR49" i="4"/>
  <c r="AT52" i="5" s="1"/>
  <c r="AS49" i="4"/>
  <c r="AU52" i="5" s="1"/>
  <c r="AT49" i="4"/>
  <c r="AU49" i="4"/>
  <c r="AV49" i="4"/>
  <c r="BE52" i="5" s="1"/>
  <c r="AW49" i="4"/>
  <c r="AX49" i="4"/>
  <c r="AW4" i="4"/>
  <c r="BG5" i="7" s="1"/>
  <c r="AX4" i="4"/>
  <c r="BH5" i="7" s="1"/>
  <c r="Q29" i="7" l="1"/>
  <c r="P29" i="7"/>
  <c r="AW12" i="5"/>
  <c r="BH13" i="7"/>
  <c r="AZ12" i="7" s="1"/>
  <c r="AW52" i="5"/>
  <c r="BH53" i="7"/>
  <c r="AW48" i="5"/>
  <c r="BH49" i="7"/>
  <c r="AW47" i="5"/>
  <c r="BH48" i="7"/>
  <c r="AW46" i="5"/>
  <c r="BH47" i="7"/>
  <c r="AW42" i="5"/>
  <c r="BH43" i="7"/>
  <c r="AW41" i="5"/>
  <c r="BH42" i="7"/>
  <c r="AW40" i="5"/>
  <c r="BH41" i="7"/>
  <c r="AW37" i="5"/>
  <c r="BH38" i="7"/>
  <c r="AW32" i="5"/>
  <c r="BH33" i="7"/>
  <c r="AW30" i="5"/>
  <c r="BH31" i="7"/>
  <c r="AW29" i="5"/>
  <c r="BH30" i="7"/>
  <c r="AV52" i="5"/>
  <c r="BG53" i="7"/>
  <c r="AV49" i="5"/>
  <c r="BG50" i="7"/>
  <c r="AV45" i="5"/>
  <c r="BG46" i="7"/>
  <c r="AV42" i="5"/>
  <c r="BG43" i="7"/>
  <c r="AV40" i="5"/>
  <c r="BG41" i="7"/>
  <c r="AV37" i="5"/>
  <c r="BG38" i="7"/>
  <c r="AV36" i="5"/>
  <c r="BG37" i="7"/>
  <c r="AV33" i="5"/>
  <c r="BG34" i="7"/>
  <c r="AV30" i="5"/>
  <c r="BG31" i="7"/>
  <c r="AW50" i="5"/>
  <c r="BH51" i="7"/>
  <c r="AW49" i="5"/>
  <c r="BH50" i="7"/>
  <c r="AW45" i="5"/>
  <c r="BH46" i="7"/>
  <c r="AW43" i="5"/>
  <c r="BH44" i="7"/>
  <c r="AW39" i="5"/>
  <c r="BH40" i="7"/>
  <c r="AW35" i="5"/>
  <c r="BH36" i="7"/>
  <c r="AW34" i="5"/>
  <c r="BH35" i="7"/>
  <c r="AW33" i="5"/>
  <c r="BH34" i="7"/>
  <c r="AV51" i="5"/>
  <c r="BG52" i="7"/>
  <c r="AV50" i="5"/>
  <c r="BG51" i="7"/>
  <c r="AV48" i="5"/>
  <c r="BG49" i="7"/>
  <c r="AV47" i="5"/>
  <c r="BG48" i="7"/>
  <c r="AV46" i="5"/>
  <c r="BG47" i="7"/>
  <c r="AV43" i="5"/>
  <c r="BG44" i="7"/>
  <c r="AV38" i="5"/>
  <c r="BG39" i="7"/>
  <c r="AV35" i="5"/>
  <c r="BG36" i="7"/>
  <c r="AV29" i="5"/>
  <c r="BG30" i="7"/>
  <c r="AW51" i="5"/>
  <c r="BH52" i="7"/>
  <c r="AW44" i="5"/>
  <c r="BH45" i="7"/>
  <c r="AW38" i="5"/>
  <c r="BH39" i="7"/>
  <c r="AW36" i="5"/>
  <c r="BH37" i="7"/>
  <c r="AW31" i="5"/>
  <c r="BH32" i="7"/>
  <c r="AV44" i="5"/>
  <c r="BG45" i="7"/>
  <c r="AV41" i="5"/>
  <c r="BG42" i="7"/>
  <c r="AV39" i="5"/>
  <c r="BG40" i="7"/>
  <c r="AZ39" i="7" s="1"/>
  <c r="AV34" i="5"/>
  <c r="BG35" i="7"/>
  <c r="AZ34" i="7" s="1"/>
  <c r="AV32" i="5"/>
  <c r="BG33" i="7"/>
  <c r="AV31" i="5"/>
  <c r="BG32" i="7"/>
  <c r="AZ31" i="7" s="1"/>
  <c r="F26" i="7"/>
  <c r="F25" i="7"/>
  <c r="F24" i="7"/>
  <c r="AW27" i="5"/>
  <c r="BH28" i="7"/>
  <c r="AW26" i="5"/>
  <c r="BH27" i="7"/>
  <c r="AW24" i="5"/>
  <c r="BH25" i="7"/>
  <c r="AW28" i="5"/>
  <c r="BH29" i="7"/>
  <c r="AV27" i="5"/>
  <c r="BG28" i="7"/>
  <c r="AW25" i="5"/>
  <c r="BH26" i="7"/>
  <c r="AV28" i="5"/>
  <c r="BG29" i="7"/>
  <c r="AV26" i="5"/>
  <c r="BG27" i="7"/>
  <c r="AV25" i="5"/>
  <c r="BG26" i="7"/>
  <c r="AV24" i="5"/>
  <c r="BG25" i="7"/>
  <c r="AW20" i="5"/>
  <c r="BH24" i="7"/>
  <c r="AV20" i="5"/>
  <c r="BG24" i="7"/>
  <c r="AV19" i="5"/>
  <c r="BG20" i="7"/>
  <c r="AW19" i="5"/>
  <c r="BH20" i="7"/>
  <c r="AW18" i="5"/>
  <c r="BH19" i="7"/>
  <c r="AW17" i="5"/>
  <c r="BH18" i="7"/>
  <c r="AW16" i="5"/>
  <c r="BH17" i="7"/>
  <c r="AV16" i="5"/>
  <c r="BG17" i="7"/>
  <c r="AZ16" i="7" s="1"/>
  <c r="AW15" i="5"/>
  <c r="BH16" i="7"/>
  <c r="AV18" i="5"/>
  <c r="BG19" i="7"/>
  <c r="AV17" i="5"/>
  <c r="BG18" i="7"/>
  <c r="AV15" i="5"/>
  <c r="BG16" i="7"/>
  <c r="AV14" i="5"/>
  <c r="BG15" i="7"/>
  <c r="AW14" i="5"/>
  <c r="BH15" i="7"/>
  <c r="AW13" i="5"/>
  <c r="BH14" i="7"/>
  <c r="AV13" i="5"/>
  <c r="BG14" i="7"/>
  <c r="AZ13" i="7" s="1"/>
  <c r="AZ7" i="7"/>
  <c r="AZ6" i="7"/>
  <c r="AZ4" i="7"/>
  <c r="AV12" i="5"/>
  <c r="AV12" i="4"/>
  <c r="BE12" i="5" s="1"/>
  <c r="Z50" i="5"/>
  <c r="AB50" i="7"/>
  <c r="Z48" i="5"/>
  <c r="AB48" i="7"/>
  <c r="AL47" i="5"/>
  <c r="AN47" i="7"/>
  <c r="Z45" i="5"/>
  <c r="AB45" i="7"/>
  <c r="AL44" i="5"/>
  <c r="AN44" i="7"/>
  <c r="N44" i="5"/>
  <c r="P44" i="7"/>
  <c r="AL43" i="5"/>
  <c r="AN43" i="7"/>
  <c r="Z42" i="5"/>
  <c r="AB42" i="7"/>
  <c r="Z40" i="5"/>
  <c r="AB40" i="7"/>
  <c r="AL39" i="5"/>
  <c r="AN39" i="7"/>
  <c r="AL38" i="5"/>
  <c r="AN38" i="7"/>
  <c r="Z36" i="5"/>
  <c r="AB36" i="7"/>
  <c r="N36" i="5"/>
  <c r="P36" i="7"/>
  <c r="Z35" i="5"/>
  <c r="AB35" i="7"/>
  <c r="Z34" i="5"/>
  <c r="AB34" i="7"/>
  <c r="N33" i="5"/>
  <c r="P33" i="7"/>
  <c r="Z31" i="5"/>
  <c r="AB31" i="7"/>
  <c r="Z30" i="5"/>
  <c r="AB30" i="7"/>
  <c r="N28" i="5"/>
  <c r="P28" i="7"/>
  <c r="AL27" i="5"/>
  <c r="AN27" i="7"/>
  <c r="Z27" i="5"/>
  <c r="AB27" i="7"/>
  <c r="Z26" i="5"/>
  <c r="AB26" i="7"/>
  <c r="AL20" i="5"/>
  <c r="AN20" i="7"/>
  <c r="N20" i="5"/>
  <c r="P20" i="7"/>
  <c r="AL19" i="5"/>
  <c r="AN19" i="7"/>
  <c r="AL18" i="5"/>
  <c r="AN18" i="7"/>
  <c r="Z17" i="5"/>
  <c r="AB17" i="7"/>
  <c r="N15" i="5"/>
  <c r="P15" i="7"/>
  <c r="N14" i="5"/>
  <c r="P14" i="7"/>
  <c r="M52" i="5"/>
  <c r="O52" i="7"/>
  <c r="AK51" i="5"/>
  <c r="AM51" i="7"/>
  <c r="Y51" i="5"/>
  <c r="AA51" i="7"/>
  <c r="AK50" i="5"/>
  <c r="AM50" i="7"/>
  <c r="Y49" i="5"/>
  <c r="AA49" i="7"/>
  <c r="Y47" i="5"/>
  <c r="AA47" i="7"/>
  <c r="AK46" i="5"/>
  <c r="AM46" i="7"/>
  <c r="Y45" i="5"/>
  <c r="AA45" i="7"/>
  <c r="Y43" i="5"/>
  <c r="AA43" i="7"/>
  <c r="M43" i="5"/>
  <c r="O43" i="7"/>
  <c r="Y42" i="5"/>
  <c r="AA42" i="7"/>
  <c r="M42" i="5"/>
  <c r="O42" i="7"/>
  <c r="AK41" i="5"/>
  <c r="AM41" i="7"/>
  <c r="M41" i="5"/>
  <c r="O41" i="7"/>
  <c r="M40" i="5"/>
  <c r="O40" i="7"/>
  <c r="M39" i="5"/>
  <c r="O39" i="7"/>
  <c r="AK37" i="5"/>
  <c r="AM37" i="7"/>
  <c r="M37" i="5"/>
  <c r="O37" i="7"/>
  <c r="AK36" i="5"/>
  <c r="AM36" i="7"/>
  <c r="Y35" i="5"/>
  <c r="AA35" i="7"/>
  <c r="AK32" i="5"/>
  <c r="AM32" i="7"/>
  <c r="M30" i="5"/>
  <c r="O30" i="7"/>
  <c r="AK28" i="5"/>
  <c r="AM28" i="7"/>
  <c r="M28" i="5"/>
  <c r="O28" i="7"/>
  <c r="AK27" i="5"/>
  <c r="AM27" i="7"/>
  <c r="Y27" i="5"/>
  <c r="AA27" i="7"/>
  <c r="AK26" i="5"/>
  <c r="AM26" i="7"/>
  <c r="Y26" i="5"/>
  <c r="AA26" i="7"/>
  <c r="M26" i="5"/>
  <c r="O26" i="7"/>
  <c r="Y25" i="5"/>
  <c r="AA25" i="7"/>
  <c r="Y24" i="5"/>
  <c r="AA24" i="7"/>
  <c r="Y20" i="5"/>
  <c r="AA20" i="7"/>
  <c r="AK17" i="5"/>
  <c r="AM17" i="7"/>
  <c r="Y16" i="5"/>
  <c r="AA16" i="7"/>
  <c r="M16" i="5"/>
  <c r="O16" i="7"/>
  <c r="AK15" i="5"/>
  <c r="AM15" i="7"/>
  <c r="Y15" i="5"/>
  <c r="AA15" i="7"/>
  <c r="M15" i="5"/>
  <c r="O15" i="7"/>
  <c r="AK14" i="5"/>
  <c r="AM14" i="7"/>
  <c r="Y14" i="5"/>
  <c r="AA14" i="7"/>
  <c r="Y13" i="5"/>
  <c r="AA13" i="7"/>
  <c r="L51" i="5"/>
  <c r="N51" i="7"/>
  <c r="L50" i="5"/>
  <c r="N50" i="7"/>
  <c r="L47" i="5"/>
  <c r="N47" i="7"/>
  <c r="L46" i="5"/>
  <c r="N46" i="7"/>
  <c r="X43" i="5"/>
  <c r="Z43" i="7"/>
  <c r="X42" i="5"/>
  <c r="Z42" i="7"/>
  <c r="X34" i="5"/>
  <c r="Z34" i="7"/>
  <c r="AJ31" i="5"/>
  <c r="AL31" i="7"/>
  <c r="X27" i="5"/>
  <c r="Z27" i="7"/>
  <c r="X26" i="5"/>
  <c r="Z26" i="7"/>
  <c r="L20" i="5"/>
  <c r="N20" i="7"/>
  <c r="AJ18" i="5"/>
  <c r="AL18" i="7"/>
  <c r="AJ15" i="5"/>
  <c r="AL15" i="7"/>
  <c r="L15" i="5"/>
  <c r="N15" i="7"/>
  <c r="AJ14" i="5"/>
  <c r="AL14" i="7"/>
  <c r="X14" i="5"/>
  <c r="Z14" i="7"/>
  <c r="L14" i="5"/>
  <c r="N14" i="7"/>
  <c r="X13" i="5"/>
  <c r="Z13" i="7"/>
  <c r="L13" i="5"/>
  <c r="N13" i="7"/>
  <c r="AS52" i="5"/>
  <c r="AX52" i="7"/>
  <c r="AS51" i="5"/>
  <c r="AX51" i="7"/>
  <c r="K51" i="5"/>
  <c r="M51" i="7"/>
  <c r="K50" i="5"/>
  <c r="M50" i="7"/>
  <c r="K49" i="5"/>
  <c r="M49" i="7"/>
  <c r="K48" i="5"/>
  <c r="M48" i="7"/>
  <c r="K47" i="5"/>
  <c r="M47" i="7"/>
  <c r="K46" i="5"/>
  <c r="M46" i="7"/>
  <c r="K45" i="5"/>
  <c r="M45" i="7"/>
  <c r="K44" i="5"/>
  <c r="M44" i="7"/>
  <c r="K43" i="5"/>
  <c r="M43" i="7"/>
  <c r="AS41" i="5"/>
  <c r="AX41" i="7"/>
  <c r="W41" i="5"/>
  <c r="Y41" i="7"/>
  <c r="W40" i="5"/>
  <c r="Y40" i="7"/>
  <c r="W39" i="5"/>
  <c r="Y39" i="7"/>
  <c r="W38" i="5"/>
  <c r="Y38" i="7"/>
  <c r="W37" i="5"/>
  <c r="Y37" i="7"/>
  <c r="W36" i="5"/>
  <c r="Y36" i="7"/>
  <c r="W35" i="5"/>
  <c r="Y35" i="7"/>
  <c r="W34" i="5"/>
  <c r="Y34" i="7"/>
  <c r="AI33" i="5"/>
  <c r="AK33" i="7"/>
  <c r="AI32" i="5"/>
  <c r="AK32" i="7"/>
  <c r="AI31" i="5"/>
  <c r="AK31" i="7"/>
  <c r="W30" i="5"/>
  <c r="Y30" i="7"/>
  <c r="W29" i="5"/>
  <c r="Y29" i="7"/>
  <c r="W28" i="5"/>
  <c r="Y28" i="7"/>
  <c r="W27" i="5"/>
  <c r="Y27" i="7"/>
  <c r="W26" i="5"/>
  <c r="Y26" i="7"/>
  <c r="K25" i="5"/>
  <c r="M25" i="7"/>
  <c r="K24" i="5"/>
  <c r="M24" i="7"/>
  <c r="K20" i="5"/>
  <c r="M20" i="7"/>
  <c r="K19" i="5"/>
  <c r="M19" i="7"/>
  <c r="K18" i="5"/>
  <c r="M18" i="7"/>
  <c r="AI17" i="5"/>
  <c r="AK17" i="7"/>
  <c r="AS16" i="5"/>
  <c r="AX16" i="7"/>
  <c r="W16" i="5"/>
  <c r="Y16" i="7"/>
  <c r="AS15" i="5"/>
  <c r="K15" i="5"/>
  <c r="M15" i="7"/>
  <c r="AI14" i="5"/>
  <c r="AK14" i="7"/>
  <c r="K14" i="5"/>
  <c r="M14" i="7"/>
  <c r="AI13" i="5"/>
  <c r="AK13" i="7"/>
  <c r="K13" i="5"/>
  <c r="M13" i="7"/>
  <c r="AR52" i="5"/>
  <c r="AW52" i="7"/>
  <c r="J52" i="5"/>
  <c r="L52" i="7"/>
  <c r="J51" i="5"/>
  <c r="L51" i="7"/>
  <c r="J50" i="5"/>
  <c r="L50" i="7"/>
  <c r="AR48" i="5"/>
  <c r="AW48" i="7"/>
  <c r="AR47" i="5"/>
  <c r="AW47" i="7"/>
  <c r="AR46" i="5"/>
  <c r="AW46" i="7"/>
  <c r="AR45" i="5"/>
  <c r="AW45" i="7"/>
  <c r="V45" i="5"/>
  <c r="X45" i="7"/>
  <c r="V44" i="5"/>
  <c r="X44" i="7"/>
  <c r="V43" i="5"/>
  <c r="X43" i="7"/>
  <c r="AH42" i="5"/>
  <c r="AJ42" i="7"/>
  <c r="J41" i="5"/>
  <c r="L41" i="7"/>
  <c r="J40" i="5"/>
  <c r="L40" i="7"/>
  <c r="V39" i="5"/>
  <c r="X39" i="7"/>
  <c r="V38" i="5"/>
  <c r="X38" i="7"/>
  <c r="J37" i="5"/>
  <c r="L37" i="7"/>
  <c r="J36" i="5"/>
  <c r="L36" i="7"/>
  <c r="J35" i="5"/>
  <c r="L35" i="7"/>
  <c r="J34" i="5"/>
  <c r="L34" i="7"/>
  <c r="V33" i="5"/>
  <c r="X33" i="7"/>
  <c r="V32" i="5"/>
  <c r="X32" i="7"/>
  <c r="V31" i="5"/>
  <c r="X31" i="7"/>
  <c r="V30" i="5"/>
  <c r="X30" i="7"/>
  <c r="V29" i="5"/>
  <c r="X29" i="7"/>
  <c r="V28" i="5"/>
  <c r="X28" i="7"/>
  <c r="V27" i="5"/>
  <c r="X27" i="7"/>
  <c r="V26" i="5"/>
  <c r="X26" i="7"/>
  <c r="V25" i="5"/>
  <c r="X25" i="7"/>
  <c r="V24" i="5"/>
  <c r="X24" i="7"/>
  <c r="V20" i="5"/>
  <c r="X20" i="7"/>
  <c r="J19" i="5"/>
  <c r="L19" i="7"/>
  <c r="J18" i="5"/>
  <c r="L18" i="7"/>
  <c r="J17" i="5"/>
  <c r="L17" i="7"/>
  <c r="J16" i="5"/>
  <c r="L16" i="7"/>
  <c r="V15" i="5"/>
  <c r="X15" i="7"/>
  <c r="AR14" i="5"/>
  <c r="J14" i="5"/>
  <c r="L14" i="7"/>
  <c r="J13" i="5"/>
  <c r="L13" i="7"/>
  <c r="AU51" i="5"/>
  <c r="BC52" i="7"/>
  <c r="AU50" i="5"/>
  <c r="BC51" i="7"/>
  <c r="AU49" i="5"/>
  <c r="BC50" i="7"/>
  <c r="AU48" i="5"/>
  <c r="BC49" i="7"/>
  <c r="AU47" i="5"/>
  <c r="BC48" i="7"/>
  <c r="AU46" i="5"/>
  <c r="BC47" i="7"/>
  <c r="AU45" i="5"/>
  <c r="BC46" i="7"/>
  <c r="I45" i="5"/>
  <c r="K45" i="7"/>
  <c r="I44" i="5"/>
  <c r="K44" i="7"/>
  <c r="AU42" i="5"/>
  <c r="BC43" i="7"/>
  <c r="AU41" i="5"/>
  <c r="BC42" i="7"/>
  <c r="I41" i="5"/>
  <c r="K41" i="7"/>
  <c r="I40" i="5"/>
  <c r="K40" i="7"/>
  <c r="I39" i="5"/>
  <c r="K39" i="7"/>
  <c r="I38" i="5"/>
  <c r="K38" i="7"/>
  <c r="I37" i="5"/>
  <c r="K37" i="7"/>
  <c r="AU35" i="5"/>
  <c r="BC36" i="7"/>
  <c r="AU34" i="5"/>
  <c r="BC35" i="7"/>
  <c r="AG33" i="5"/>
  <c r="AI33" i="7"/>
  <c r="AG32" i="5"/>
  <c r="AI32" i="7"/>
  <c r="AG31" i="5"/>
  <c r="AI31" i="7"/>
  <c r="AU30" i="5"/>
  <c r="BC31" i="7"/>
  <c r="AG29" i="5"/>
  <c r="AI29" i="7"/>
  <c r="AG28" i="5"/>
  <c r="AI28" i="7"/>
  <c r="AG27" i="5"/>
  <c r="AI27" i="7"/>
  <c r="AG26" i="5"/>
  <c r="AI26" i="7"/>
  <c r="AG25" i="5"/>
  <c r="AI25" i="7"/>
  <c r="AG24" i="5"/>
  <c r="AI24" i="7"/>
  <c r="AG20" i="5"/>
  <c r="AI20" i="7"/>
  <c r="AG19" i="5"/>
  <c r="AI19" i="7"/>
  <c r="AG18" i="5"/>
  <c r="AI18" i="7"/>
  <c r="AG17" i="5"/>
  <c r="AI17" i="7"/>
  <c r="AG16" i="5"/>
  <c r="AI16" i="7"/>
  <c r="AU15" i="5"/>
  <c r="BC16" i="7"/>
  <c r="I15" i="5"/>
  <c r="K15" i="7"/>
  <c r="U14" i="5"/>
  <c r="W14" i="7"/>
  <c r="AU13" i="5"/>
  <c r="BC14" i="7"/>
  <c r="U13" i="5"/>
  <c r="W13" i="7"/>
  <c r="AF52" i="5"/>
  <c r="AH52" i="7"/>
  <c r="AF51" i="5"/>
  <c r="AH51" i="7"/>
  <c r="AF50" i="5"/>
  <c r="AH50" i="7"/>
  <c r="AF49" i="5"/>
  <c r="AH49" i="7"/>
  <c r="AF48" i="5"/>
  <c r="AH48" i="7"/>
  <c r="AF47" i="5"/>
  <c r="AH47" i="7"/>
  <c r="AT46" i="5"/>
  <c r="BB47" i="7"/>
  <c r="AT45" i="5"/>
  <c r="BB46" i="7"/>
  <c r="AT44" i="5"/>
  <c r="BB45" i="7"/>
  <c r="AT43" i="5"/>
  <c r="BB44" i="7"/>
  <c r="AF42" i="5"/>
  <c r="AH42" i="7"/>
  <c r="AF41" i="5"/>
  <c r="AH41" i="7"/>
  <c r="AT40" i="5"/>
  <c r="BB41" i="7"/>
  <c r="AT39" i="5"/>
  <c r="BB40" i="7"/>
  <c r="AT38" i="5"/>
  <c r="BB39" i="7"/>
  <c r="AT37" i="5"/>
  <c r="BB38" i="7"/>
  <c r="AF36" i="5"/>
  <c r="AH36" i="7"/>
  <c r="AF35" i="5"/>
  <c r="AH35" i="7"/>
  <c r="T34" i="5"/>
  <c r="V34" i="7"/>
  <c r="H33" i="5"/>
  <c r="J33" i="7"/>
  <c r="AT31" i="5"/>
  <c r="BB32" i="7"/>
  <c r="AT30" i="5"/>
  <c r="BB31" i="7"/>
  <c r="AT29" i="5"/>
  <c r="BB30" i="7"/>
  <c r="H29" i="5"/>
  <c r="J29" i="7"/>
  <c r="H28" i="5"/>
  <c r="J28" i="7"/>
  <c r="H27" i="5"/>
  <c r="J27" i="7"/>
  <c r="H26" i="5"/>
  <c r="J26" i="7"/>
  <c r="H25" i="5"/>
  <c r="J25" i="7"/>
  <c r="H24" i="5"/>
  <c r="J24" i="7"/>
  <c r="H20" i="5"/>
  <c r="J20" i="7"/>
  <c r="H19" i="5"/>
  <c r="J19" i="7"/>
  <c r="H18" i="5"/>
  <c r="J18" i="7"/>
  <c r="AF17" i="5"/>
  <c r="AH17" i="7"/>
  <c r="T16" i="5"/>
  <c r="V16" i="7"/>
  <c r="AT15" i="5"/>
  <c r="BB16" i="7"/>
  <c r="AT14" i="5"/>
  <c r="BB15" i="7"/>
  <c r="T14" i="5"/>
  <c r="V14" i="7"/>
  <c r="AT13" i="5"/>
  <c r="BB14" i="7"/>
  <c r="T13" i="5"/>
  <c r="V13" i="7"/>
  <c r="G52" i="5"/>
  <c r="I52" i="7"/>
  <c r="G51" i="5"/>
  <c r="I51" i="7"/>
  <c r="G50" i="5"/>
  <c r="I50" i="7"/>
  <c r="S49" i="5"/>
  <c r="U49" i="7"/>
  <c r="S48" i="5"/>
  <c r="U48" i="7"/>
  <c r="S47" i="5"/>
  <c r="U47" i="7"/>
  <c r="S46" i="5"/>
  <c r="U46" i="7"/>
  <c r="S45" i="5"/>
  <c r="U45" i="7"/>
  <c r="S44" i="5"/>
  <c r="U44" i="7"/>
  <c r="AE43" i="5"/>
  <c r="AG43" i="7"/>
  <c r="AE42" i="5"/>
  <c r="AG42" i="7"/>
  <c r="AQ41" i="5"/>
  <c r="AV41" i="7"/>
  <c r="G41" i="5"/>
  <c r="I41" i="7"/>
  <c r="AE40" i="5"/>
  <c r="AG40" i="7"/>
  <c r="G40" i="5"/>
  <c r="I40" i="7"/>
  <c r="AE39" i="5"/>
  <c r="AG39" i="7"/>
  <c r="AQ38" i="5"/>
  <c r="AV38" i="7"/>
  <c r="S38" i="5"/>
  <c r="U38" i="7"/>
  <c r="AE37" i="5"/>
  <c r="AG37" i="7"/>
  <c r="G37" i="5"/>
  <c r="I37" i="7"/>
  <c r="AE36" i="5"/>
  <c r="AG36" i="7"/>
  <c r="G36" i="5"/>
  <c r="I36" i="7"/>
  <c r="AE35" i="5"/>
  <c r="AG35" i="7"/>
  <c r="G35" i="5"/>
  <c r="I35" i="7"/>
  <c r="AQ34" i="5"/>
  <c r="AV34" i="7"/>
  <c r="S34" i="5"/>
  <c r="U34" i="7"/>
  <c r="AQ33" i="5"/>
  <c r="AV33" i="7"/>
  <c r="S33" i="5"/>
  <c r="U33" i="7"/>
  <c r="AQ32" i="5"/>
  <c r="AV32" i="7"/>
  <c r="S32" i="5"/>
  <c r="U32" i="7"/>
  <c r="AQ31" i="5"/>
  <c r="AV31" i="7"/>
  <c r="S31" i="5"/>
  <c r="U31" i="7"/>
  <c r="AQ30" i="5"/>
  <c r="AV30" i="7"/>
  <c r="S30" i="5"/>
  <c r="U30" i="7"/>
  <c r="G30" i="5"/>
  <c r="I30" i="7"/>
  <c r="AE29" i="5"/>
  <c r="AG29" i="7"/>
  <c r="G29" i="5"/>
  <c r="I29" i="7"/>
  <c r="AE28" i="5"/>
  <c r="AG28" i="7"/>
  <c r="G28" i="5"/>
  <c r="I28" i="7"/>
  <c r="AE27" i="5"/>
  <c r="AG27" i="7"/>
  <c r="G27" i="5"/>
  <c r="I27" i="7"/>
  <c r="AE26" i="5"/>
  <c r="AG26" i="7"/>
  <c r="G26" i="5"/>
  <c r="I26" i="7"/>
  <c r="AQ25" i="5"/>
  <c r="AV25" i="7"/>
  <c r="S25" i="5"/>
  <c r="U25" i="7"/>
  <c r="AQ24" i="5"/>
  <c r="AV24" i="7"/>
  <c r="S24" i="5"/>
  <c r="U24" i="7"/>
  <c r="AQ20" i="5"/>
  <c r="AV20" i="7"/>
  <c r="S20" i="5"/>
  <c r="U20" i="7"/>
  <c r="AE19" i="5"/>
  <c r="AG19" i="7"/>
  <c r="G19" i="5"/>
  <c r="I19" i="7"/>
  <c r="AE18" i="5"/>
  <c r="AG18" i="7"/>
  <c r="G18" i="5"/>
  <c r="I18" i="7"/>
  <c r="AE17" i="5"/>
  <c r="AG17" i="7"/>
  <c r="G17" i="5"/>
  <c r="I17" i="7"/>
  <c r="AE16" i="5"/>
  <c r="AG16" i="7"/>
  <c r="G16" i="5"/>
  <c r="I16" i="7"/>
  <c r="AE15" i="5"/>
  <c r="AG15" i="7"/>
  <c r="G15" i="5"/>
  <c r="I15" i="7"/>
  <c r="AE14" i="5"/>
  <c r="AG14" i="7"/>
  <c r="G14" i="5"/>
  <c r="I14" i="7"/>
  <c r="AE13" i="5"/>
  <c r="AG13" i="7"/>
  <c r="G13" i="5"/>
  <c r="I13" i="7"/>
  <c r="AP52" i="5"/>
  <c r="AU52" i="7"/>
  <c r="AD52" i="5"/>
  <c r="AF52" i="7"/>
  <c r="R52" i="5"/>
  <c r="T52" i="7"/>
  <c r="F52" i="5"/>
  <c r="H52" i="7"/>
  <c r="AP51" i="5"/>
  <c r="AU51" i="7"/>
  <c r="AD51" i="5"/>
  <c r="AF51" i="7"/>
  <c r="R51" i="5"/>
  <c r="T51" i="7"/>
  <c r="F51" i="5"/>
  <c r="H51" i="7"/>
  <c r="AP50" i="5"/>
  <c r="AU50" i="7"/>
  <c r="AD50" i="5"/>
  <c r="AF50" i="7"/>
  <c r="R50" i="5"/>
  <c r="T50" i="7"/>
  <c r="F50" i="5"/>
  <c r="H50" i="7"/>
  <c r="AP49" i="5"/>
  <c r="AU49" i="7"/>
  <c r="AD49" i="5"/>
  <c r="AF49" i="7"/>
  <c r="R49" i="5"/>
  <c r="T49" i="7"/>
  <c r="F49" i="5"/>
  <c r="H49" i="7"/>
  <c r="AP48" i="5"/>
  <c r="AU48" i="7"/>
  <c r="AD48" i="5"/>
  <c r="AF48" i="7"/>
  <c r="R48" i="5"/>
  <c r="T48" i="7"/>
  <c r="F48" i="5"/>
  <c r="H48" i="7"/>
  <c r="AP47" i="5"/>
  <c r="AU47" i="7"/>
  <c r="AD47" i="5"/>
  <c r="AF47" i="7"/>
  <c r="R47" i="5"/>
  <c r="T47" i="7"/>
  <c r="F47" i="5"/>
  <c r="H47" i="7"/>
  <c r="AP46" i="5"/>
  <c r="AU46" i="7"/>
  <c r="AD46" i="5"/>
  <c r="AF46" i="7"/>
  <c r="R46" i="5"/>
  <c r="T46" i="7"/>
  <c r="F46" i="5"/>
  <c r="H46" i="7"/>
  <c r="AP45" i="5"/>
  <c r="AU45" i="7"/>
  <c r="AD45" i="5"/>
  <c r="AF45" i="7"/>
  <c r="R45" i="5"/>
  <c r="T45" i="7"/>
  <c r="F45" i="5"/>
  <c r="H45" i="7"/>
  <c r="AP44" i="5"/>
  <c r="AU44" i="7"/>
  <c r="AD44" i="5"/>
  <c r="AF44" i="7"/>
  <c r="R44" i="5"/>
  <c r="T44" i="7"/>
  <c r="F44" i="5"/>
  <c r="H44" i="7"/>
  <c r="AP43" i="5"/>
  <c r="AU43" i="7"/>
  <c r="AD43" i="5"/>
  <c r="AF43" i="7"/>
  <c r="R43" i="5"/>
  <c r="T43" i="7"/>
  <c r="F43" i="5"/>
  <c r="H43" i="7"/>
  <c r="AP42" i="5"/>
  <c r="AU42" i="7"/>
  <c r="AD42" i="5"/>
  <c r="AF42" i="7"/>
  <c r="R42" i="5"/>
  <c r="T42" i="7"/>
  <c r="F42" i="5"/>
  <c r="H42" i="7"/>
  <c r="AP41" i="5"/>
  <c r="AU41" i="7"/>
  <c r="AD41" i="5"/>
  <c r="AF41" i="7"/>
  <c r="R41" i="5"/>
  <c r="T41" i="7"/>
  <c r="F41" i="5"/>
  <c r="H41" i="7"/>
  <c r="AP40" i="5"/>
  <c r="AU40" i="7"/>
  <c r="AD40" i="5"/>
  <c r="AF40" i="7"/>
  <c r="R40" i="5"/>
  <c r="T40" i="7"/>
  <c r="F40" i="5"/>
  <c r="H40" i="7"/>
  <c r="AP39" i="5"/>
  <c r="AU39" i="7"/>
  <c r="AD39" i="5"/>
  <c r="AF39" i="7"/>
  <c r="R39" i="5"/>
  <c r="T39" i="7"/>
  <c r="F39" i="5"/>
  <c r="H39" i="7"/>
  <c r="AP38" i="5"/>
  <c r="AU38" i="7"/>
  <c r="AD38" i="5"/>
  <c r="AF38" i="7"/>
  <c r="R38" i="5"/>
  <c r="T38" i="7"/>
  <c r="F38" i="5"/>
  <c r="H38" i="7"/>
  <c r="AP37" i="5"/>
  <c r="AU37" i="7"/>
  <c r="AD37" i="5"/>
  <c r="AF37" i="7"/>
  <c r="R37" i="5"/>
  <c r="T37" i="7"/>
  <c r="F37" i="5"/>
  <c r="H37" i="7"/>
  <c r="AP36" i="5"/>
  <c r="AU36" i="7"/>
  <c r="AD36" i="5"/>
  <c r="AF36" i="7"/>
  <c r="R36" i="5"/>
  <c r="T36" i="7"/>
  <c r="F36" i="5"/>
  <c r="H36" i="7"/>
  <c r="AP35" i="5"/>
  <c r="AU35" i="7"/>
  <c r="AD35" i="5"/>
  <c r="AF35" i="7"/>
  <c r="R35" i="5"/>
  <c r="T35" i="7"/>
  <c r="F35" i="5"/>
  <c r="H35" i="7"/>
  <c r="AP34" i="5"/>
  <c r="AU34" i="7"/>
  <c r="AD34" i="5"/>
  <c r="AF34" i="7"/>
  <c r="R34" i="5"/>
  <c r="T34" i="7"/>
  <c r="F34" i="5"/>
  <c r="H34" i="7"/>
  <c r="AP33" i="5"/>
  <c r="AU33" i="7"/>
  <c r="AD33" i="5"/>
  <c r="AF33" i="7"/>
  <c r="R33" i="5"/>
  <c r="T33" i="7"/>
  <c r="F33" i="5"/>
  <c r="H33" i="7"/>
  <c r="AP32" i="5"/>
  <c r="AU32" i="7"/>
  <c r="AD32" i="5"/>
  <c r="AF32" i="7"/>
  <c r="R32" i="5"/>
  <c r="T32" i="7"/>
  <c r="F32" i="5"/>
  <c r="H32" i="7"/>
  <c r="AP31" i="5"/>
  <c r="AU31" i="7"/>
  <c r="AD31" i="5"/>
  <c r="AF31" i="7"/>
  <c r="R31" i="5"/>
  <c r="T31" i="7"/>
  <c r="F31" i="5"/>
  <c r="H31" i="7"/>
  <c r="AP30" i="5"/>
  <c r="AU30" i="7"/>
  <c r="AD30" i="5"/>
  <c r="AF30" i="7"/>
  <c r="R30" i="5"/>
  <c r="T30" i="7"/>
  <c r="F30" i="5"/>
  <c r="H30" i="7"/>
  <c r="AP29" i="5"/>
  <c r="AU29" i="7"/>
  <c r="AD29" i="5"/>
  <c r="AF29" i="7"/>
  <c r="R29" i="5"/>
  <c r="T29" i="7"/>
  <c r="F29" i="5"/>
  <c r="H29" i="7"/>
  <c r="AP28" i="5"/>
  <c r="AU28" i="7"/>
  <c r="AD28" i="5"/>
  <c r="AF28" i="7"/>
  <c r="R28" i="5"/>
  <c r="T28" i="7"/>
  <c r="F28" i="5"/>
  <c r="H28" i="7"/>
  <c r="AP27" i="5"/>
  <c r="AU27" i="7"/>
  <c r="AD27" i="5"/>
  <c r="AF27" i="7"/>
  <c r="R27" i="5"/>
  <c r="T27" i="7"/>
  <c r="F27" i="5"/>
  <c r="H27" i="7"/>
  <c r="AP26" i="5"/>
  <c r="AU26" i="7"/>
  <c r="AD26" i="5"/>
  <c r="AF26" i="7"/>
  <c r="R26" i="5"/>
  <c r="T26" i="7"/>
  <c r="F26" i="5"/>
  <c r="H26" i="7"/>
  <c r="AP25" i="5"/>
  <c r="AU25" i="7"/>
  <c r="AD25" i="5"/>
  <c r="AF25" i="7"/>
  <c r="R25" i="5"/>
  <c r="T25" i="7"/>
  <c r="F25" i="5"/>
  <c r="H25" i="7"/>
  <c r="AP24" i="5"/>
  <c r="AU24" i="7"/>
  <c r="AD24" i="5"/>
  <c r="AF24" i="7"/>
  <c r="R24" i="5"/>
  <c r="T24" i="7"/>
  <c r="F24" i="5"/>
  <c r="H24" i="7"/>
  <c r="AP20" i="5"/>
  <c r="AU20" i="7"/>
  <c r="AD20" i="5"/>
  <c r="AF20" i="7"/>
  <c r="R20" i="5"/>
  <c r="T20" i="7"/>
  <c r="F20" i="5"/>
  <c r="H20" i="7"/>
  <c r="AP19" i="5"/>
  <c r="AU19" i="7"/>
  <c r="AD19" i="5"/>
  <c r="AF19" i="7"/>
  <c r="R19" i="5"/>
  <c r="T19" i="7"/>
  <c r="F19" i="5"/>
  <c r="H19" i="7"/>
  <c r="AP18" i="5"/>
  <c r="AU18" i="7"/>
  <c r="AD18" i="5"/>
  <c r="AF18" i="7"/>
  <c r="R18" i="5"/>
  <c r="T18" i="7"/>
  <c r="F18" i="5"/>
  <c r="H18" i="7"/>
  <c r="AP17" i="5"/>
  <c r="AU17" i="7"/>
  <c r="AD17" i="5"/>
  <c r="AF17" i="7"/>
  <c r="R17" i="5"/>
  <c r="T17" i="7"/>
  <c r="F17" i="5"/>
  <c r="H17" i="7"/>
  <c r="AP16" i="5"/>
  <c r="AU16" i="7"/>
  <c r="AD16" i="5"/>
  <c r="AF16" i="7"/>
  <c r="R16" i="5"/>
  <c r="T16" i="7"/>
  <c r="F16" i="5"/>
  <c r="H16" i="7"/>
  <c r="AP15" i="5"/>
  <c r="AU15" i="7"/>
  <c r="AD15" i="5"/>
  <c r="AF15" i="7"/>
  <c r="R15" i="5"/>
  <c r="T15" i="7"/>
  <c r="F15" i="5"/>
  <c r="H15" i="7"/>
  <c r="AP14" i="5"/>
  <c r="AU14" i="7"/>
  <c r="AD14" i="5"/>
  <c r="AF14" i="7"/>
  <c r="R14" i="5"/>
  <c r="T14" i="7"/>
  <c r="F14" i="5"/>
  <c r="H14" i="7"/>
  <c r="AP13" i="5"/>
  <c r="AU13" i="7"/>
  <c r="AD13" i="5"/>
  <c r="AF13" i="7"/>
  <c r="R13" i="5"/>
  <c r="T13" i="7"/>
  <c r="F13" i="5"/>
  <c r="H13" i="7"/>
  <c r="Z52" i="5"/>
  <c r="AB52" i="7"/>
  <c r="Z51" i="5"/>
  <c r="AB51" i="7"/>
  <c r="N49" i="5"/>
  <c r="P49" i="7"/>
  <c r="AL48" i="5"/>
  <c r="AN48" i="7"/>
  <c r="Z47" i="5"/>
  <c r="AB47" i="7"/>
  <c r="AL41" i="5"/>
  <c r="AN41" i="7"/>
  <c r="Z38" i="5"/>
  <c r="AB38" i="7"/>
  <c r="AL37" i="5"/>
  <c r="AN37" i="7"/>
  <c r="AL36" i="5"/>
  <c r="AN36" i="7"/>
  <c r="AL35" i="5"/>
  <c r="AN35" i="7"/>
  <c r="Z33" i="5"/>
  <c r="AB33" i="7"/>
  <c r="AL32" i="5"/>
  <c r="AN32" i="7"/>
  <c r="N31" i="5"/>
  <c r="P31" i="7"/>
  <c r="Z29" i="5"/>
  <c r="AB29" i="7"/>
  <c r="AL28" i="5"/>
  <c r="AN28" i="7"/>
  <c r="N27" i="5"/>
  <c r="P27" i="7"/>
  <c r="Z25" i="5"/>
  <c r="AB25" i="7"/>
  <c r="N25" i="5"/>
  <c r="P25" i="7"/>
  <c r="AL24" i="5"/>
  <c r="AN24" i="7"/>
  <c r="N24" i="5"/>
  <c r="P24" i="7"/>
  <c r="Z20" i="5"/>
  <c r="AB20" i="7"/>
  <c r="Z19" i="5"/>
  <c r="AB19" i="7"/>
  <c r="AL17" i="5"/>
  <c r="AN17" i="7"/>
  <c r="N17" i="5"/>
  <c r="P17" i="7"/>
  <c r="Z16" i="5"/>
  <c r="AB16" i="7"/>
  <c r="Z14" i="5"/>
  <c r="AB14" i="7"/>
  <c r="Z13" i="5"/>
  <c r="AB13" i="7"/>
  <c r="Y50" i="5"/>
  <c r="AA50" i="7"/>
  <c r="M48" i="5"/>
  <c r="O48" i="7"/>
  <c r="AK47" i="5"/>
  <c r="AM47" i="7"/>
  <c r="Y46" i="5"/>
  <c r="AA46" i="7"/>
  <c r="Y44" i="5"/>
  <c r="AA44" i="7"/>
  <c r="M44" i="5"/>
  <c r="O44" i="7"/>
  <c r="AK42" i="5"/>
  <c r="AM42" i="7"/>
  <c r="AK38" i="5"/>
  <c r="AM38" i="7"/>
  <c r="M38" i="5"/>
  <c r="O38" i="7"/>
  <c r="Y37" i="5"/>
  <c r="AA37" i="7"/>
  <c r="Y36" i="5"/>
  <c r="AA36" i="7"/>
  <c r="M34" i="5"/>
  <c r="O34" i="7"/>
  <c r="AK33" i="5"/>
  <c r="AM33" i="7"/>
  <c r="M33" i="5"/>
  <c r="O33" i="7"/>
  <c r="M31" i="5"/>
  <c r="O31" i="7"/>
  <c r="Y29" i="5"/>
  <c r="AA29" i="7"/>
  <c r="M29" i="5"/>
  <c r="O29" i="7"/>
  <c r="Y28" i="5"/>
  <c r="AA28" i="7"/>
  <c r="M27" i="5"/>
  <c r="O27" i="7"/>
  <c r="M25" i="5"/>
  <c r="O25" i="7"/>
  <c r="AK24" i="5"/>
  <c r="AM24" i="7"/>
  <c r="M24" i="5"/>
  <c r="O24" i="7"/>
  <c r="AK20" i="5"/>
  <c r="AM20" i="7"/>
  <c r="M20" i="5"/>
  <c r="O20" i="7"/>
  <c r="Y19" i="5"/>
  <c r="AA19" i="7"/>
  <c r="AK18" i="5"/>
  <c r="AM18" i="7"/>
  <c r="M18" i="5"/>
  <c r="O18" i="7"/>
  <c r="M17" i="5"/>
  <c r="O17" i="7"/>
  <c r="AK13" i="5"/>
  <c r="AM13" i="7"/>
  <c r="X52" i="5"/>
  <c r="Z52" i="7"/>
  <c r="AJ51" i="5"/>
  <c r="AL51" i="7"/>
  <c r="AJ50" i="5"/>
  <c r="AL50" i="7"/>
  <c r="AJ48" i="5"/>
  <c r="AL48" i="7"/>
  <c r="AJ47" i="5"/>
  <c r="AL47" i="7"/>
  <c r="X46" i="5"/>
  <c r="Z46" i="7"/>
  <c r="L44" i="5"/>
  <c r="N44" i="7"/>
  <c r="L43" i="5"/>
  <c r="N43" i="7"/>
  <c r="AJ38" i="5"/>
  <c r="AL38" i="7"/>
  <c r="X38" i="5"/>
  <c r="Z38" i="7"/>
  <c r="AJ37" i="5"/>
  <c r="AL37" i="7"/>
  <c r="L37" i="5"/>
  <c r="N37" i="7"/>
  <c r="X36" i="5"/>
  <c r="Z36" i="7"/>
  <c r="AJ35" i="5"/>
  <c r="AL35" i="7"/>
  <c r="AJ34" i="5"/>
  <c r="AL34" i="7"/>
  <c r="AJ30" i="5"/>
  <c r="AL30" i="7"/>
  <c r="X30" i="5"/>
  <c r="Z30" i="7"/>
  <c r="L30" i="5"/>
  <c r="N30" i="7"/>
  <c r="AJ29" i="5"/>
  <c r="AL29" i="7"/>
  <c r="L29" i="5"/>
  <c r="N29" i="7"/>
  <c r="AJ28" i="5"/>
  <c r="AL28" i="7"/>
  <c r="AJ27" i="5"/>
  <c r="AL27" i="7"/>
  <c r="X25" i="5"/>
  <c r="Z25" i="7"/>
  <c r="X24" i="5"/>
  <c r="Z24" i="7"/>
  <c r="X19" i="5"/>
  <c r="Z19" i="7"/>
  <c r="L19" i="5"/>
  <c r="N19" i="7"/>
  <c r="X18" i="5"/>
  <c r="Z18" i="7"/>
  <c r="L18" i="5"/>
  <c r="N18" i="7"/>
  <c r="AJ17" i="5"/>
  <c r="AL17" i="7"/>
  <c r="AJ16" i="5"/>
  <c r="AL16" i="7"/>
  <c r="AJ13" i="5"/>
  <c r="AL13" i="7"/>
  <c r="AI52" i="5"/>
  <c r="AK52" i="7"/>
  <c r="AI51" i="5"/>
  <c r="AK51" i="7"/>
  <c r="AI50" i="5"/>
  <c r="AK50" i="7"/>
  <c r="W49" i="5"/>
  <c r="Y49" i="7"/>
  <c r="W48" i="5"/>
  <c r="Y48" i="7"/>
  <c r="W47" i="5"/>
  <c r="Y47" i="7"/>
  <c r="W46" i="5"/>
  <c r="Y46" i="7"/>
  <c r="W45" i="5"/>
  <c r="Y45" i="7"/>
  <c r="W44" i="5"/>
  <c r="Y44" i="7"/>
  <c r="W43" i="5"/>
  <c r="Y43" i="7"/>
  <c r="W42" i="5"/>
  <c r="Y42" i="7"/>
  <c r="AS40" i="5"/>
  <c r="AX40" i="7"/>
  <c r="AS39" i="5"/>
  <c r="AX39" i="7"/>
  <c r="AS38" i="5"/>
  <c r="AX38" i="7"/>
  <c r="AS37" i="5"/>
  <c r="AX37" i="7"/>
  <c r="AS36" i="5"/>
  <c r="AX36" i="7"/>
  <c r="AS35" i="5"/>
  <c r="AX35" i="7"/>
  <c r="AS34" i="5"/>
  <c r="AX34" i="7"/>
  <c r="AS33" i="5"/>
  <c r="AX33" i="7"/>
  <c r="AS32" i="5"/>
  <c r="AX32" i="7"/>
  <c r="AS31" i="5"/>
  <c r="AX31" i="7"/>
  <c r="AS30" i="5"/>
  <c r="AX30" i="7"/>
  <c r="AS29" i="5"/>
  <c r="AX29" i="7"/>
  <c r="AS28" i="5"/>
  <c r="AX28" i="7"/>
  <c r="AS27" i="5"/>
  <c r="AX27" i="7"/>
  <c r="K27" i="5"/>
  <c r="M27" i="7"/>
  <c r="AS25" i="5"/>
  <c r="AX25" i="7"/>
  <c r="AI24" i="5"/>
  <c r="AK24" i="7"/>
  <c r="AI20" i="5"/>
  <c r="AK20" i="7"/>
  <c r="AI19" i="5"/>
  <c r="AK19" i="7"/>
  <c r="W18" i="5"/>
  <c r="Y18" i="7"/>
  <c r="AI16" i="5"/>
  <c r="AK16" i="7"/>
  <c r="V52" i="5"/>
  <c r="X52" i="7"/>
  <c r="V51" i="5"/>
  <c r="X51" i="7"/>
  <c r="V50" i="5"/>
  <c r="X50" i="7"/>
  <c r="V49" i="5"/>
  <c r="X49" i="7"/>
  <c r="AH48" i="5"/>
  <c r="AJ48" i="7"/>
  <c r="AH47" i="5"/>
  <c r="AJ47" i="7"/>
  <c r="AH46" i="5"/>
  <c r="AJ46" i="7"/>
  <c r="AR44" i="5"/>
  <c r="AW44" i="7"/>
  <c r="AR43" i="5"/>
  <c r="AW43" i="7"/>
  <c r="AR42" i="5"/>
  <c r="AW42" i="7"/>
  <c r="AH41" i="5"/>
  <c r="AJ41" i="7"/>
  <c r="AH40" i="5"/>
  <c r="AJ40" i="7"/>
  <c r="AR39" i="5"/>
  <c r="AW39" i="7"/>
  <c r="AR38" i="5"/>
  <c r="AW38" i="7"/>
  <c r="AR37" i="5"/>
  <c r="AW37" i="7"/>
  <c r="AH36" i="5"/>
  <c r="AJ36" i="7"/>
  <c r="AH35" i="5"/>
  <c r="AJ35" i="7"/>
  <c r="AH34" i="5"/>
  <c r="AJ34" i="7"/>
  <c r="AH33" i="5"/>
  <c r="AJ33" i="7"/>
  <c r="AH32" i="5"/>
  <c r="AJ32" i="7"/>
  <c r="AH31" i="5"/>
  <c r="AJ31" i="7"/>
  <c r="AH30" i="5"/>
  <c r="AJ30" i="7"/>
  <c r="AH29" i="5"/>
  <c r="AJ29" i="7"/>
  <c r="AH28" i="5"/>
  <c r="AJ28" i="7"/>
  <c r="AH27" i="5"/>
  <c r="AJ27" i="7"/>
  <c r="AH26" i="5"/>
  <c r="AJ26" i="7"/>
  <c r="AH25" i="5"/>
  <c r="AJ25" i="7"/>
  <c r="AH24" i="5"/>
  <c r="AJ24" i="7"/>
  <c r="AH20" i="5"/>
  <c r="AJ20" i="7"/>
  <c r="AH19" i="5"/>
  <c r="AJ19" i="7"/>
  <c r="AH18" i="5"/>
  <c r="AJ18" i="7"/>
  <c r="AH17" i="5"/>
  <c r="AJ17" i="7"/>
  <c r="AH16" i="5"/>
  <c r="AJ16" i="7"/>
  <c r="AH15" i="5"/>
  <c r="AJ15" i="7"/>
  <c r="AH13" i="5"/>
  <c r="AJ13" i="7"/>
  <c r="AG52" i="5"/>
  <c r="AI52" i="7"/>
  <c r="AG51" i="5"/>
  <c r="AI51" i="7"/>
  <c r="AG50" i="5"/>
  <c r="AI50" i="7"/>
  <c r="AG49" i="5"/>
  <c r="AI49" i="7"/>
  <c r="AG48" i="5"/>
  <c r="AI48" i="7"/>
  <c r="AG47" i="5"/>
  <c r="AI47" i="7"/>
  <c r="AG46" i="5"/>
  <c r="AI46" i="7"/>
  <c r="AG45" i="5"/>
  <c r="AI45" i="7"/>
  <c r="AG44" i="5"/>
  <c r="AI44" i="7"/>
  <c r="AG43" i="5"/>
  <c r="AI43" i="7"/>
  <c r="AG42" i="5"/>
  <c r="AI42" i="7"/>
  <c r="AG41" i="5"/>
  <c r="AI41" i="7"/>
  <c r="U40" i="5"/>
  <c r="W40" i="7"/>
  <c r="U39" i="5"/>
  <c r="W39" i="7"/>
  <c r="U38" i="5"/>
  <c r="W38" i="7"/>
  <c r="U37" i="5"/>
  <c r="W37" i="7"/>
  <c r="U36" i="5"/>
  <c r="W36" i="7"/>
  <c r="U35" i="5"/>
  <c r="W35" i="7"/>
  <c r="I34" i="5"/>
  <c r="K34" i="7"/>
  <c r="I33" i="5"/>
  <c r="K33" i="7"/>
  <c r="I32" i="5"/>
  <c r="K32" i="7"/>
  <c r="I31" i="5"/>
  <c r="K31" i="7"/>
  <c r="I30" i="5"/>
  <c r="K30" i="7"/>
  <c r="I29" i="5"/>
  <c r="K29" i="7"/>
  <c r="I28" i="5"/>
  <c r="K28" i="7"/>
  <c r="I27" i="5"/>
  <c r="K27" i="7"/>
  <c r="I26" i="5"/>
  <c r="K26" i="7"/>
  <c r="I25" i="5"/>
  <c r="K25" i="7"/>
  <c r="AU20" i="5"/>
  <c r="BC24" i="7"/>
  <c r="AU19" i="5"/>
  <c r="BC20" i="7"/>
  <c r="AU18" i="5"/>
  <c r="BC19" i="7"/>
  <c r="I18" i="5"/>
  <c r="K18" i="7"/>
  <c r="I17" i="5"/>
  <c r="K17" i="7"/>
  <c r="I16" i="5"/>
  <c r="K16" i="7"/>
  <c r="AU14" i="5"/>
  <c r="BC15" i="7"/>
  <c r="H52" i="5"/>
  <c r="J52" i="7"/>
  <c r="T51" i="5"/>
  <c r="V51" i="7"/>
  <c r="T50" i="5"/>
  <c r="V50" i="7"/>
  <c r="T49" i="5"/>
  <c r="V49" i="7"/>
  <c r="T48" i="5"/>
  <c r="V48" i="7"/>
  <c r="T47" i="5"/>
  <c r="V47" i="7"/>
  <c r="H46" i="5"/>
  <c r="J46" i="7"/>
  <c r="H45" i="5"/>
  <c r="J45" i="7"/>
  <c r="H44" i="5"/>
  <c r="J44" i="7"/>
  <c r="H43" i="5"/>
  <c r="J43" i="7"/>
  <c r="H42" i="5"/>
  <c r="J42" i="7"/>
  <c r="H41" i="5"/>
  <c r="J41" i="7"/>
  <c r="H40" i="5"/>
  <c r="J40" i="7"/>
  <c r="H39" i="5"/>
  <c r="J39" i="7"/>
  <c r="H38" i="5"/>
  <c r="J38" i="7"/>
  <c r="T37" i="5"/>
  <c r="V37" i="7"/>
  <c r="H36" i="5"/>
  <c r="J36" i="7"/>
  <c r="H35" i="5"/>
  <c r="J35" i="7"/>
  <c r="H34" i="5"/>
  <c r="J34" i="7"/>
  <c r="AF33" i="5"/>
  <c r="AH33" i="7"/>
  <c r="AF32" i="5"/>
  <c r="AH32" i="7"/>
  <c r="T31" i="5"/>
  <c r="V31" i="7"/>
  <c r="T30" i="5"/>
  <c r="V30" i="7"/>
  <c r="T29" i="5"/>
  <c r="V29" i="7"/>
  <c r="T28" i="5"/>
  <c r="V28" i="7"/>
  <c r="AF27" i="5"/>
  <c r="AH27" i="7"/>
  <c r="AF26" i="5"/>
  <c r="AH26" i="7"/>
  <c r="T25" i="5"/>
  <c r="V25" i="7"/>
  <c r="AF24" i="5"/>
  <c r="AH24" i="7"/>
  <c r="AF20" i="5"/>
  <c r="AH20" i="7"/>
  <c r="AF19" i="5"/>
  <c r="AH19" i="7"/>
  <c r="T18" i="5"/>
  <c r="V18" i="7"/>
  <c r="AT16" i="5"/>
  <c r="BB17" i="7"/>
  <c r="H15" i="5"/>
  <c r="J15" i="7"/>
  <c r="AE52" i="5"/>
  <c r="AG52" i="7"/>
  <c r="AE51" i="5"/>
  <c r="AG51" i="7"/>
  <c r="AE50" i="5"/>
  <c r="AG50" i="7"/>
  <c r="AE49" i="5"/>
  <c r="AG49" i="7"/>
  <c r="AE48" i="5"/>
  <c r="AG48" i="7"/>
  <c r="AE47" i="5"/>
  <c r="AG47" i="7"/>
  <c r="AQ46" i="5"/>
  <c r="AV46" i="7"/>
  <c r="AQ45" i="5"/>
  <c r="AV45" i="7"/>
  <c r="G45" i="5"/>
  <c r="I45" i="7"/>
  <c r="G44" i="5"/>
  <c r="I44" i="7"/>
  <c r="S43" i="5"/>
  <c r="U43" i="7"/>
  <c r="S42" i="5"/>
  <c r="U42" i="7"/>
  <c r="G42" i="5"/>
  <c r="I42" i="7"/>
  <c r="S41" i="5"/>
  <c r="U41" i="7"/>
  <c r="AQ40" i="5"/>
  <c r="AV40" i="7"/>
  <c r="S40" i="5"/>
  <c r="U40" i="7"/>
  <c r="AQ39" i="5"/>
  <c r="AV39" i="7"/>
  <c r="S39" i="5"/>
  <c r="U39" i="7"/>
  <c r="AE38" i="5"/>
  <c r="AG38" i="7"/>
  <c r="AQ37" i="5"/>
  <c r="AV37" i="7"/>
  <c r="S37" i="5"/>
  <c r="U37" i="7"/>
  <c r="AQ36" i="5"/>
  <c r="AV36" i="7"/>
  <c r="S36" i="5"/>
  <c r="U36" i="7"/>
  <c r="AQ35" i="5"/>
  <c r="AV35" i="7"/>
  <c r="S35" i="5"/>
  <c r="U35" i="7"/>
  <c r="AE34" i="5"/>
  <c r="AG34" i="7"/>
  <c r="G34" i="5"/>
  <c r="I34" i="7"/>
  <c r="AE33" i="5"/>
  <c r="AG33" i="7"/>
  <c r="G33" i="5"/>
  <c r="I33" i="7"/>
  <c r="AE32" i="5"/>
  <c r="AG32" i="7"/>
  <c r="G32" i="5"/>
  <c r="I32" i="7"/>
  <c r="AE31" i="5"/>
  <c r="AG31" i="7"/>
  <c r="G31" i="5"/>
  <c r="I31" i="7"/>
  <c r="AE30" i="5"/>
  <c r="AG30" i="7"/>
  <c r="AQ29" i="5"/>
  <c r="AV29" i="7"/>
  <c r="S29" i="5"/>
  <c r="U29" i="7"/>
  <c r="AQ28" i="5"/>
  <c r="AV28" i="7"/>
  <c r="S28" i="5"/>
  <c r="U28" i="7"/>
  <c r="AQ27" i="5"/>
  <c r="AV27" i="7"/>
  <c r="S27" i="5"/>
  <c r="U27" i="7"/>
  <c r="AQ26" i="5"/>
  <c r="AV26" i="7"/>
  <c r="S26" i="5"/>
  <c r="U26" i="7"/>
  <c r="AE25" i="5"/>
  <c r="AG25" i="7"/>
  <c r="G25" i="5"/>
  <c r="I25" i="7"/>
  <c r="AE24" i="5"/>
  <c r="AG24" i="7"/>
  <c r="G24" i="5"/>
  <c r="I24" i="7"/>
  <c r="AE20" i="5"/>
  <c r="AG20" i="7"/>
  <c r="G20" i="5"/>
  <c r="I20" i="7"/>
  <c r="AQ19" i="5"/>
  <c r="AV19" i="7"/>
  <c r="S19" i="5"/>
  <c r="U19" i="7"/>
  <c r="AQ18" i="5"/>
  <c r="AV18" i="7"/>
  <c r="S18" i="5"/>
  <c r="U18" i="7"/>
  <c r="AQ17" i="5"/>
  <c r="AV17" i="7"/>
  <c r="S17" i="5"/>
  <c r="U17" i="7"/>
  <c r="AQ16" i="5"/>
  <c r="AV16" i="7"/>
  <c r="S16" i="5"/>
  <c r="U16" i="7"/>
  <c r="AQ15" i="5"/>
  <c r="AV15" i="7"/>
  <c r="S15" i="5"/>
  <c r="U15" i="7"/>
  <c r="AQ14" i="5"/>
  <c r="AV14" i="7"/>
  <c r="S14" i="5"/>
  <c r="U14" i="7"/>
  <c r="AQ13" i="5"/>
  <c r="AV13" i="7"/>
  <c r="S13" i="5"/>
  <c r="U13" i="7"/>
  <c r="AO52" i="5"/>
  <c r="AT52" i="7"/>
  <c r="AC52" i="5"/>
  <c r="AE52" i="7"/>
  <c r="Q52" i="5"/>
  <c r="S52" i="7"/>
  <c r="G52" i="7"/>
  <c r="E52" i="5"/>
  <c r="AO51" i="5"/>
  <c r="AT51" i="7"/>
  <c r="AC51" i="5"/>
  <c r="AE51" i="7"/>
  <c r="Q51" i="5"/>
  <c r="S51" i="7"/>
  <c r="E51" i="5"/>
  <c r="G51" i="7"/>
  <c r="AO50" i="5"/>
  <c r="AT50" i="7"/>
  <c r="AC50" i="5"/>
  <c r="AE50" i="7"/>
  <c r="Q50" i="5"/>
  <c r="S50" i="7"/>
  <c r="E50" i="5"/>
  <c r="G50" i="7"/>
  <c r="AO49" i="5"/>
  <c r="AT49" i="7"/>
  <c r="AC49" i="5"/>
  <c r="AE49" i="7"/>
  <c r="Q49" i="5"/>
  <c r="S49" i="7"/>
  <c r="E49" i="5"/>
  <c r="G49" i="7"/>
  <c r="AO48" i="5"/>
  <c r="AT48" i="7"/>
  <c r="AC48" i="5"/>
  <c r="AE48" i="7"/>
  <c r="Q48" i="5"/>
  <c r="S48" i="7"/>
  <c r="E48" i="5"/>
  <c r="G48" i="7"/>
  <c r="AO47" i="5"/>
  <c r="AT47" i="7"/>
  <c r="AC47" i="5"/>
  <c r="AE47" i="7"/>
  <c r="Q47" i="5"/>
  <c r="S47" i="7"/>
  <c r="E47" i="5"/>
  <c r="G47" i="7"/>
  <c r="AO46" i="5"/>
  <c r="AT46" i="7"/>
  <c r="AC46" i="5"/>
  <c r="AE46" i="7"/>
  <c r="Q46" i="5"/>
  <c r="S46" i="7"/>
  <c r="E46" i="5"/>
  <c r="G46" i="7"/>
  <c r="AO45" i="5"/>
  <c r="AT45" i="7"/>
  <c r="AC45" i="5"/>
  <c r="AE45" i="7"/>
  <c r="Q45" i="5"/>
  <c r="S45" i="7"/>
  <c r="E45" i="5"/>
  <c r="G45" i="7"/>
  <c r="AO44" i="5"/>
  <c r="AT44" i="7"/>
  <c r="AC44" i="5"/>
  <c r="AE44" i="7"/>
  <c r="Q44" i="5"/>
  <c r="S44" i="7"/>
  <c r="E44" i="5"/>
  <c r="G44" i="7"/>
  <c r="AO43" i="5"/>
  <c r="AT43" i="7"/>
  <c r="AC43" i="5"/>
  <c r="AE43" i="7"/>
  <c r="Q43" i="5"/>
  <c r="S43" i="7"/>
  <c r="E43" i="5"/>
  <c r="G43" i="7"/>
  <c r="AO42" i="5"/>
  <c r="AT42" i="7"/>
  <c r="AC42" i="5"/>
  <c r="AE42" i="7"/>
  <c r="Q42" i="5"/>
  <c r="S42" i="7"/>
  <c r="E42" i="5"/>
  <c r="G42" i="7"/>
  <c r="AO41" i="5"/>
  <c r="AT41" i="7"/>
  <c r="AC41" i="5"/>
  <c r="AE41" i="7"/>
  <c r="Q41" i="5"/>
  <c r="S41" i="7"/>
  <c r="G41" i="7"/>
  <c r="E41" i="5"/>
  <c r="AO40" i="5"/>
  <c r="AT40" i="7"/>
  <c r="AC40" i="5"/>
  <c r="AE40" i="7"/>
  <c r="Q40" i="5"/>
  <c r="S40" i="7"/>
  <c r="G40" i="7"/>
  <c r="E40" i="5"/>
  <c r="AO39" i="5"/>
  <c r="AT39" i="7"/>
  <c r="AC39" i="5"/>
  <c r="AE39" i="7"/>
  <c r="Q39" i="5"/>
  <c r="S39" i="7"/>
  <c r="G39" i="7"/>
  <c r="E39" i="5"/>
  <c r="AO38" i="5"/>
  <c r="AT38" i="7"/>
  <c r="AC38" i="5"/>
  <c r="AE38" i="7"/>
  <c r="Q38" i="5"/>
  <c r="S38" i="7"/>
  <c r="E38" i="5"/>
  <c r="G38" i="7"/>
  <c r="AO37" i="5"/>
  <c r="AT37" i="7"/>
  <c r="AC37" i="5"/>
  <c r="AE37" i="7"/>
  <c r="Q37" i="5"/>
  <c r="S37" i="7"/>
  <c r="G37" i="7"/>
  <c r="E37" i="5"/>
  <c r="AO36" i="5"/>
  <c r="AT36" i="7"/>
  <c r="AC36" i="5"/>
  <c r="AE36" i="7"/>
  <c r="Q36" i="5"/>
  <c r="S36" i="7"/>
  <c r="E36" i="5"/>
  <c r="G36" i="7"/>
  <c r="AO35" i="5"/>
  <c r="AT35" i="7"/>
  <c r="AC35" i="5"/>
  <c r="AE35" i="7"/>
  <c r="Q35" i="5"/>
  <c r="S35" i="7"/>
  <c r="E35" i="5"/>
  <c r="G35" i="7"/>
  <c r="AO34" i="5"/>
  <c r="AT34" i="7"/>
  <c r="AC34" i="5"/>
  <c r="AE34" i="7"/>
  <c r="Q34" i="5"/>
  <c r="S34" i="7"/>
  <c r="E34" i="5"/>
  <c r="G34" i="7"/>
  <c r="AO33" i="5"/>
  <c r="AT33" i="7"/>
  <c r="AC33" i="5"/>
  <c r="AE33" i="7"/>
  <c r="Q33" i="5"/>
  <c r="S33" i="7"/>
  <c r="E33" i="5"/>
  <c r="G33" i="7"/>
  <c r="AO32" i="5"/>
  <c r="AT32" i="7"/>
  <c r="AC32" i="5"/>
  <c r="AE32" i="7"/>
  <c r="Q32" i="5"/>
  <c r="S32" i="7"/>
  <c r="E32" i="5"/>
  <c r="G32" i="7"/>
  <c r="AO31" i="5"/>
  <c r="AT31" i="7"/>
  <c r="AC31" i="5"/>
  <c r="AE31" i="7"/>
  <c r="Q31" i="5"/>
  <c r="S31" i="7"/>
  <c r="E31" i="5"/>
  <c r="G31" i="7"/>
  <c r="AO30" i="5"/>
  <c r="AT30" i="7"/>
  <c r="AC30" i="5"/>
  <c r="AE30" i="7"/>
  <c r="Q30" i="5"/>
  <c r="S30" i="7"/>
  <c r="E30" i="5"/>
  <c r="G30" i="7"/>
  <c r="AO29" i="5"/>
  <c r="AT29" i="7"/>
  <c r="AC29" i="5"/>
  <c r="AE29" i="7"/>
  <c r="Q29" i="5"/>
  <c r="S29" i="7"/>
  <c r="G29" i="7"/>
  <c r="E29" i="5"/>
  <c r="AO28" i="5"/>
  <c r="AT28" i="7"/>
  <c r="AC28" i="5"/>
  <c r="AE28" i="7"/>
  <c r="Q28" i="5"/>
  <c r="S28" i="7"/>
  <c r="G28" i="7"/>
  <c r="E28" i="5"/>
  <c r="AO27" i="5"/>
  <c r="AT27" i="7"/>
  <c r="AC27" i="5"/>
  <c r="AE27" i="7"/>
  <c r="Q27" i="5"/>
  <c r="S27" i="7"/>
  <c r="G27" i="7"/>
  <c r="E27" i="5"/>
  <c r="AO26" i="5"/>
  <c r="AT26" i="7"/>
  <c r="AC26" i="5"/>
  <c r="AE26" i="7"/>
  <c r="Q26" i="5"/>
  <c r="S26" i="7"/>
  <c r="G26" i="7"/>
  <c r="E26" i="5"/>
  <c r="AO25" i="5"/>
  <c r="AT25" i="7"/>
  <c r="AC25" i="5"/>
  <c r="AE25" i="7"/>
  <c r="Q25" i="5"/>
  <c r="S25" i="7"/>
  <c r="G25" i="7"/>
  <c r="E25" i="5"/>
  <c r="AO24" i="5"/>
  <c r="AT24" i="7"/>
  <c r="AC24" i="5"/>
  <c r="AE24" i="7"/>
  <c r="Q24" i="5"/>
  <c r="S24" i="7"/>
  <c r="G24" i="7"/>
  <c r="E24" i="5"/>
  <c r="AO20" i="5"/>
  <c r="AT20" i="7"/>
  <c r="AC20" i="5"/>
  <c r="AE20" i="7"/>
  <c r="Q20" i="5"/>
  <c r="S20" i="7"/>
  <c r="E20" i="5"/>
  <c r="G20" i="7"/>
  <c r="AO19" i="5"/>
  <c r="AT19" i="7"/>
  <c r="AC19" i="5"/>
  <c r="AE19" i="7"/>
  <c r="Q19" i="5"/>
  <c r="S19" i="7"/>
  <c r="E19" i="5"/>
  <c r="G19" i="7"/>
  <c r="AO18" i="5"/>
  <c r="AT18" i="7"/>
  <c r="AC18" i="5"/>
  <c r="AE18" i="7"/>
  <c r="Q18" i="5"/>
  <c r="S18" i="7"/>
  <c r="E18" i="5"/>
  <c r="G18" i="7"/>
  <c r="AO17" i="5"/>
  <c r="AT17" i="7"/>
  <c r="AC17" i="5"/>
  <c r="AE17" i="7"/>
  <c r="Q17" i="5"/>
  <c r="S17" i="7"/>
  <c r="E17" i="5"/>
  <c r="G17" i="7"/>
  <c r="AO16" i="5"/>
  <c r="AT16" i="7"/>
  <c r="AC16" i="5"/>
  <c r="AE16" i="7"/>
  <c r="Q16" i="5"/>
  <c r="S16" i="7"/>
  <c r="E16" i="5"/>
  <c r="G16" i="7"/>
  <c r="AO15" i="5"/>
  <c r="AT15" i="7"/>
  <c r="AC15" i="5"/>
  <c r="AE15" i="7"/>
  <c r="Q15" i="5"/>
  <c r="S15" i="7"/>
  <c r="AO14" i="5"/>
  <c r="AT14" i="7"/>
  <c r="AC14" i="5"/>
  <c r="AE14" i="7"/>
  <c r="Q14" i="5"/>
  <c r="S14" i="7"/>
  <c r="E14" i="5"/>
  <c r="G14" i="7"/>
  <c r="AO13" i="5"/>
  <c r="AT13" i="7"/>
  <c r="AC13" i="5"/>
  <c r="AE13" i="7"/>
  <c r="Q13" i="5"/>
  <c r="S13" i="7"/>
  <c r="G13" i="7"/>
  <c r="E13" i="5"/>
  <c r="AL52" i="5"/>
  <c r="AN52" i="7"/>
  <c r="N52" i="5"/>
  <c r="P52" i="7"/>
  <c r="AL51" i="5"/>
  <c r="AN51" i="7"/>
  <c r="N51" i="5"/>
  <c r="P51" i="7"/>
  <c r="AL50" i="5"/>
  <c r="AN50" i="7"/>
  <c r="N50" i="5"/>
  <c r="P50" i="7"/>
  <c r="Z49" i="5"/>
  <c r="AB49" i="7"/>
  <c r="N48" i="5"/>
  <c r="P48" i="7"/>
  <c r="Z46" i="5"/>
  <c r="AB46" i="7"/>
  <c r="N46" i="5"/>
  <c r="P46" i="7"/>
  <c r="N45" i="5"/>
  <c r="P45" i="7"/>
  <c r="Z44" i="5"/>
  <c r="AB44" i="7"/>
  <c r="N43" i="5"/>
  <c r="P43" i="7"/>
  <c r="Z41" i="5"/>
  <c r="AB41" i="7"/>
  <c r="AL40" i="5"/>
  <c r="AN40" i="7"/>
  <c r="N40" i="5"/>
  <c r="P40" i="7"/>
  <c r="Z39" i="5"/>
  <c r="AB39" i="7"/>
  <c r="N37" i="5"/>
  <c r="P37" i="7"/>
  <c r="Z32" i="5"/>
  <c r="AB32" i="7"/>
  <c r="AL31" i="5"/>
  <c r="AN31" i="7"/>
  <c r="AL30" i="5"/>
  <c r="AN30" i="7"/>
  <c r="N18" i="5"/>
  <c r="P18" i="7"/>
  <c r="AL16" i="5"/>
  <c r="AN16" i="7"/>
  <c r="N16" i="5"/>
  <c r="P16" i="7"/>
  <c r="Z15" i="5"/>
  <c r="AB15" i="7"/>
  <c r="AL14" i="5"/>
  <c r="AN14" i="7"/>
  <c r="AL13" i="5"/>
  <c r="AN13" i="7"/>
  <c r="AK52" i="5"/>
  <c r="AM52" i="7"/>
  <c r="M51" i="5"/>
  <c r="O51" i="7"/>
  <c r="M49" i="5"/>
  <c r="O49" i="7"/>
  <c r="Y48" i="5"/>
  <c r="AA48" i="7"/>
  <c r="M47" i="5"/>
  <c r="O47" i="7"/>
  <c r="AK45" i="5"/>
  <c r="AM45" i="7"/>
  <c r="AK44" i="5"/>
  <c r="AM44" i="7"/>
  <c r="AK43" i="5"/>
  <c r="AM43" i="7"/>
  <c r="Y41" i="5"/>
  <c r="AA41" i="7"/>
  <c r="AK40" i="5"/>
  <c r="AM40" i="7"/>
  <c r="AK39" i="5"/>
  <c r="AM39" i="7"/>
  <c r="M36" i="5"/>
  <c r="O36" i="7"/>
  <c r="AK35" i="5"/>
  <c r="AM35" i="7"/>
  <c r="M35" i="5"/>
  <c r="O35" i="7"/>
  <c r="Y34" i="5"/>
  <c r="AA34" i="7"/>
  <c r="Y33" i="5"/>
  <c r="AA33" i="7"/>
  <c r="Y31" i="5"/>
  <c r="AA31" i="7"/>
  <c r="AK30" i="5"/>
  <c r="AM30" i="7"/>
  <c r="AK29" i="5"/>
  <c r="AM29" i="7"/>
  <c r="AK25" i="5"/>
  <c r="AM25" i="7"/>
  <c r="AK19" i="5"/>
  <c r="AM19" i="7"/>
  <c r="AK16" i="5"/>
  <c r="AM16" i="7"/>
  <c r="M13" i="5"/>
  <c r="O13" i="7"/>
  <c r="AJ52" i="5"/>
  <c r="AL52" i="7"/>
  <c r="X51" i="5"/>
  <c r="Z51" i="7"/>
  <c r="X49" i="5"/>
  <c r="Z49" i="7"/>
  <c r="L49" i="5"/>
  <c r="N49" i="7"/>
  <c r="X48" i="5"/>
  <c r="Z48" i="7"/>
  <c r="X47" i="5"/>
  <c r="Z47" i="7"/>
  <c r="X45" i="5"/>
  <c r="Z45" i="7"/>
  <c r="AJ44" i="5"/>
  <c r="AL44" i="7"/>
  <c r="AJ43" i="5"/>
  <c r="AL43" i="7"/>
  <c r="X41" i="5"/>
  <c r="Z41" i="7"/>
  <c r="AJ40" i="5"/>
  <c r="AL40" i="7"/>
  <c r="L40" i="5"/>
  <c r="N40" i="7"/>
  <c r="AJ39" i="5"/>
  <c r="AL39" i="7"/>
  <c r="L39" i="5"/>
  <c r="N39" i="7"/>
  <c r="L38" i="5"/>
  <c r="N38" i="7"/>
  <c r="X35" i="5"/>
  <c r="Z35" i="7"/>
  <c r="L34" i="5"/>
  <c r="N34" i="7"/>
  <c r="X32" i="5"/>
  <c r="Z32" i="7"/>
  <c r="L32" i="5"/>
  <c r="N32" i="7"/>
  <c r="X31" i="5"/>
  <c r="Z31" i="7"/>
  <c r="X29" i="5"/>
  <c r="Z29" i="7"/>
  <c r="X28" i="5"/>
  <c r="Z28" i="7"/>
  <c r="AJ26" i="5"/>
  <c r="AL26" i="7"/>
  <c r="L26" i="5"/>
  <c r="N26" i="7"/>
  <c r="AJ25" i="5"/>
  <c r="AL25" i="7"/>
  <c r="L25" i="5"/>
  <c r="N25" i="7"/>
  <c r="AJ24" i="5"/>
  <c r="AL24" i="7"/>
  <c r="AJ20" i="5"/>
  <c r="AL20" i="7"/>
  <c r="X16" i="5"/>
  <c r="Z16" i="7"/>
  <c r="X15" i="5"/>
  <c r="Z15" i="7"/>
  <c r="K52" i="5"/>
  <c r="M52" i="7"/>
  <c r="AS50" i="5"/>
  <c r="AX50" i="7"/>
  <c r="AS49" i="5"/>
  <c r="AX49" i="7"/>
  <c r="AS48" i="5"/>
  <c r="AX48" i="7"/>
  <c r="AS47" i="5"/>
  <c r="AX47" i="7"/>
  <c r="AS46" i="5"/>
  <c r="AX46" i="7"/>
  <c r="AS45" i="5"/>
  <c r="AX45" i="7"/>
  <c r="AS44" i="5"/>
  <c r="AX44" i="7"/>
  <c r="AS43" i="5"/>
  <c r="AX43" i="7"/>
  <c r="AS42" i="5"/>
  <c r="AX42" i="7"/>
  <c r="K42" i="5"/>
  <c r="M42" i="7"/>
  <c r="AI41" i="5"/>
  <c r="AK41" i="7"/>
  <c r="AI40" i="5"/>
  <c r="AK40" i="7"/>
  <c r="AI39" i="5"/>
  <c r="AK39" i="7"/>
  <c r="AI38" i="5"/>
  <c r="AK38" i="7"/>
  <c r="AI37" i="5"/>
  <c r="AK37" i="7"/>
  <c r="AI36" i="5"/>
  <c r="AK36" i="7"/>
  <c r="AI35" i="5"/>
  <c r="AK35" i="7"/>
  <c r="AI34" i="5"/>
  <c r="AK34" i="7"/>
  <c r="W33" i="5"/>
  <c r="Y33" i="7"/>
  <c r="W32" i="5"/>
  <c r="Y32" i="7"/>
  <c r="W31" i="5"/>
  <c r="Y31" i="7"/>
  <c r="AI30" i="5"/>
  <c r="AK30" i="7"/>
  <c r="AI29" i="5"/>
  <c r="AK29" i="7"/>
  <c r="AI28" i="5"/>
  <c r="AK28" i="7"/>
  <c r="AI27" i="5"/>
  <c r="AK27" i="7"/>
  <c r="AI26" i="5"/>
  <c r="AK26" i="7"/>
  <c r="K26" i="5"/>
  <c r="M26" i="7"/>
  <c r="W25" i="5"/>
  <c r="Y25" i="7"/>
  <c r="AS24" i="5"/>
  <c r="AX24" i="7"/>
  <c r="AS20" i="5"/>
  <c r="AX20" i="7"/>
  <c r="AS19" i="5"/>
  <c r="AX19" i="7"/>
  <c r="AS18" i="5"/>
  <c r="AX18" i="7"/>
  <c r="AS17" i="5"/>
  <c r="AX17" i="7"/>
  <c r="K17" i="5"/>
  <c r="M17" i="7"/>
  <c r="K16" i="5"/>
  <c r="M16" i="7"/>
  <c r="AI15" i="5"/>
  <c r="AK15" i="7"/>
  <c r="AS14" i="5"/>
  <c r="W14" i="5"/>
  <c r="Y14" i="7"/>
  <c r="AS13" i="5"/>
  <c r="W13" i="5"/>
  <c r="Y13" i="7"/>
  <c r="AR51" i="5"/>
  <c r="AW51" i="7"/>
  <c r="AR50" i="5"/>
  <c r="AW50" i="7"/>
  <c r="AR49" i="5"/>
  <c r="AW49" i="7"/>
  <c r="J49" i="5"/>
  <c r="L49" i="7"/>
  <c r="J48" i="5"/>
  <c r="L48" i="7"/>
  <c r="J47" i="5"/>
  <c r="L47" i="7"/>
  <c r="J46" i="5"/>
  <c r="L46" i="7"/>
  <c r="AH45" i="5"/>
  <c r="AJ45" i="7"/>
  <c r="AH44" i="5"/>
  <c r="AJ44" i="7"/>
  <c r="AH43" i="5"/>
  <c r="AJ43" i="7"/>
  <c r="V42" i="5"/>
  <c r="X42" i="7"/>
  <c r="V41" i="5"/>
  <c r="X41" i="7"/>
  <c r="V40" i="5"/>
  <c r="X40" i="7"/>
  <c r="J39" i="5"/>
  <c r="L39" i="7"/>
  <c r="J38" i="5"/>
  <c r="L38" i="7"/>
  <c r="V37" i="5"/>
  <c r="X37" i="7"/>
  <c r="V36" i="5"/>
  <c r="X36" i="7"/>
  <c r="V35" i="5"/>
  <c r="X35" i="7"/>
  <c r="V34" i="5"/>
  <c r="X34" i="7"/>
  <c r="J33" i="5"/>
  <c r="L33" i="7"/>
  <c r="J32" i="5"/>
  <c r="L32" i="7"/>
  <c r="J31" i="5"/>
  <c r="L31" i="7"/>
  <c r="AR29" i="5"/>
  <c r="AW29" i="7"/>
  <c r="AR28" i="5"/>
  <c r="AW28" i="7"/>
  <c r="AR27" i="5"/>
  <c r="AW27" i="7"/>
  <c r="AR26" i="5"/>
  <c r="AW26" i="7"/>
  <c r="AR25" i="5"/>
  <c r="AW25" i="7"/>
  <c r="AR24" i="5"/>
  <c r="AW24" i="7"/>
  <c r="AR20" i="5"/>
  <c r="AW20" i="7"/>
  <c r="AR19" i="5"/>
  <c r="AW19" i="7"/>
  <c r="AR18" i="5"/>
  <c r="AW18" i="7"/>
  <c r="AR17" i="5"/>
  <c r="AW17" i="7"/>
  <c r="AR16" i="5"/>
  <c r="AW16" i="7"/>
  <c r="AR15" i="5"/>
  <c r="AH14" i="5"/>
  <c r="AJ14" i="7"/>
  <c r="V14" i="5"/>
  <c r="X14" i="7"/>
  <c r="V13" i="5"/>
  <c r="X13" i="7"/>
  <c r="U52" i="5"/>
  <c r="W52" i="7"/>
  <c r="I51" i="5"/>
  <c r="K51" i="7"/>
  <c r="I50" i="5"/>
  <c r="K50" i="7"/>
  <c r="I49" i="5"/>
  <c r="K49" i="7"/>
  <c r="I48" i="5"/>
  <c r="K48" i="7"/>
  <c r="I47" i="5"/>
  <c r="K47" i="7"/>
  <c r="I46" i="5"/>
  <c r="K46" i="7"/>
  <c r="AU44" i="5"/>
  <c r="BC45" i="7"/>
  <c r="AU43" i="5"/>
  <c r="BC44" i="7"/>
  <c r="I43" i="5"/>
  <c r="K43" i="7"/>
  <c r="I42" i="5"/>
  <c r="K42" i="7"/>
  <c r="AU40" i="5"/>
  <c r="BC41" i="7"/>
  <c r="AU39" i="5"/>
  <c r="BC40" i="7"/>
  <c r="AU38" i="5"/>
  <c r="BC39" i="7"/>
  <c r="AU37" i="5"/>
  <c r="BC38" i="7"/>
  <c r="AU36" i="5"/>
  <c r="BC37" i="7"/>
  <c r="I36" i="5"/>
  <c r="K36" i="7"/>
  <c r="I35" i="5"/>
  <c r="K35" i="7"/>
  <c r="AG34" i="5"/>
  <c r="AI34" i="7"/>
  <c r="AU33" i="5"/>
  <c r="BC34" i="7"/>
  <c r="AU32" i="5"/>
  <c r="BC33" i="7"/>
  <c r="AU31" i="5"/>
  <c r="BC32" i="7"/>
  <c r="AG30" i="5"/>
  <c r="AI30" i="7"/>
  <c r="AU29" i="5"/>
  <c r="BC30" i="7"/>
  <c r="AU28" i="5"/>
  <c r="BC29" i="7"/>
  <c r="AU27" i="5"/>
  <c r="BC28" i="7"/>
  <c r="AU26" i="5"/>
  <c r="BC27" i="7"/>
  <c r="U25" i="5"/>
  <c r="W25" i="7"/>
  <c r="U24" i="5"/>
  <c r="W24" i="7"/>
  <c r="U20" i="5"/>
  <c r="W20" i="7"/>
  <c r="U19" i="5"/>
  <c r="W19" i="7"/>
  <c r="U18" i="5"/>
  <c r="W18" i="7"/>
  <c r="U17" i="5"/>
  <c r="W17" i="7"/>
  <c r="U16" i="5"/>
  <c r="W16" i="7"/>
  <c r="U15" i="5"/>
  <c r="W15" i="7"/>
  <c r="AG14" i="5"/>
  <c r="AI14" i="7"/>
  <c r="AG13" i="5"/>
  <c r="AI13" i="7"/>
  <c r="I13" i="5"/>
  <c r="K13" i="7"/>
  <c r="AT51" i="5"/>
  <c r="BB52" i="7"/>
  <c r="AT50" i="5"/>
  <c r="BB51" i="7"/>
  <c r="AT49" i="5"/>
  <c r="BB50" i="7"/>
  <c r="AT48" i="5"/>
  <c r="BB49" i="7"/>
  <c r="AT47" i="5"/>
  <c r="BB48" i="7"/>
  <c r="AF46" i="5"/>
  <c r="AH46" i="7"/>
  <c r="AF45" i="5"/>
  <c r="AH45" i="7"/>
  <c r="AF44" i="5"/>
  <c r="AH44" i="7"/>
  <c r="AF43" i="5"/>
  <c r="AH43" i="7"/>
  <c r="AT42" i="5"/>
  <c r="BB43" i="7"/>
  <c r="AT41" i="5"/>
  <c r="BB42" i="7"/>
  <c r="AF40" i="5"/>
  <c r="AH40" i="7"/>
  <c r="AF39" i="5"/>
  <c r="AH39" i="7"/>
  <c r="AF38" i="5"/>
  <c r="AH38" i="7"/>
  <c r="AF37" i="5"/>
  <c r="AH37" i="7"/>
  <c r="AT36" i="5"/>
  <c r="BB37" i="7"/>
  <c r="AT35" i="5"/>
  <c r="BB36" i="7"/>
  <c r="AT34" i="5"/>
  <c r="BB35" i="7"/>
  <c r="AT33" i="5"/>
  <c r="BB34" i="7"/>
  <c r="AT32" i="5"/>
  <c r="BB33" i="7"/>
  <c r="H32" i="5"/>
  <c r="J32" i="7"/>
  <c r="H31" i="5"/>
  <c r="J31" i="7"/>
  <c r="H30" i="5"/>
  <c r="J30" i="7"/>
  <c r="AT28" i="5"/>
  <c r="BB29" i="7"/>
  <c r="AT27" i="5"/>
  <c r="BB28" i="7"/>
  <c r="AT26" i="5"/>
  <c r="BB27" i="7"/>
  <c r="AT25" i="5"/>
  <c r="BB26" i="7"/>
  <c r="AT24" i="5"/>
  <c r="BB25" i="7"/>
  <c r="AT20" i="5"/>
  <c r="BB24" i="7"/>
  <c r="AT19" i="5"/>
  <c r="BB20" i="7"/>
  <c r="AT18" i="5"/>
  <c r="BB19" i="7"/>
  <c r="AT17" i="5"/>
  <c r="BB18" i="7"/>
  <c r="T17" i="5"/>
  <c r="V17" i="7"/>
  <c r="AF16" i="5"/>
  <c r="AH16" i="7"/>
  <c r="H16" i="5"/>
  <c r="J16" i="7"/>
  <c r="AF15" i="5"/>
  <c r="AH15" i="7"/>
  <c r="AF14" i="5"/>
  <c r="AH14" i="7"/>
  <c r="H14" i="5"/>
  <c r="J14" i="7"/>
  <c r="AF13" i="5"/>
  <c r="AH13" i="7"/>
  <c r="H13" i="5"/>
  <c r="J13" i="7"/>
  <c r="S52" i="5"/>
  <c r="U52" i="7"/>
  <c r="S51" i="5"/>
  <c r="U51" i="7"/>
  <c r="S50" i="5"/>
  <c r="U50" i="7"/>
  <c r="G49" i="5"/>
  <c r="I49" i="7"/>
  <c r="G48" i="5"/>
  <c r="I48" i="7"/>
  <c r="G47" i="5"/>
  <c r="I47" i="7"/>
  <c r="G46" i="5"/>
  <c r="I46" i="7"/>
  <c r="AQ44" i="5"/>
  <c r="AV44" i="7"/>
  <c r="G43" i="5"/>
  <c r="I43" i="7"/>
  <c r="G39" i="5"/>
  <c r="I39" i="7"/>
  <c r="AB52" i="5"/>
  <c r="AD52" i="7"/>
  <c r="P52" i="5"/>
  <c r="R52" i="7"/>
  <c r="AB49" i="5"/>
  <c r="AD49" i="7"/>
  <c r="P49" i="5"/>
  <c r="R49" i="7"/>
  <c r="AN47" i="5"/>
  <c r="AS47" i="7"/>
  <c r="AB47" i="5"/>
  <c r="AD47" i="7"/>
  <c r="P47" i="5"/>
  <c r="R47" i="7"/>
  <c r="AN46" i="5"/>
  <c r="AS46" i="7"/>
  <c r="AB46" i="5"/>
  <c r="AD46" i="7"/>
  <c r="P46" i="5"/>
  <c r="R46" i="7"/>
  <c r="AN45" i="5"/>
  <c r="AS45" i="7"/>
  <c r="AN44" i="5"/>
  <c r="AS44" i="7"/>
  <c r="AB44" i="5"/>
  <c r="AD44" i="7"/>
  <c r="P44" i="5"/>
  <c r="R44" i="7"/>
  <c r="AB43" i="5"/>
  <c r="AD43" i="7"/>
  <c r="AN42" i="5"/>
  <c r="AS42" i="7"/>
  <c r="AB42" i="5"/>
  <c r="AD42" i="7"/>
  <c r="P42" i="5"/>
  <c r="R42" i="7"/>
  <c r="AN41" i="5"/>
  <c r="AS41" i="7"/>
  <c r="AB41" i="5"/>
  <c r="AD41" i="7"/>
  <c r="P41" i="5"/>
  <c r="R41" i="7"/>
  <c r="AN40" i="5"/>
  <c r="AS40" i="7"/>
  <c r="P40" i="5"/>
  <c r="R40" i="7"/>
  <c r="AB37" i="5"/>
  <c r="AD37" i="7"/>
  <c r="P37" i="5"/>
  <c r="R37" i="7"/>
  <c r="AN36" i="5"/>
  <c r="AS36" i="7"/>
  <c r="AB36" i="5"/>
  <c r="AD36" i="7"/>
  <c r="AN35" i="5"/>
  <c r="AS35" i="7"/>
  <c r="AB35" i="5"/>
  <c r="AD35" i="7"/>
  <c r="P35" i="5"/>
  <c r="R35" i="7"/>
  <c r="AN34" i="5"/>
  <c r="AS34" i="7"/>
  <c r="AB34" i="5"/>
  <c r="AD34" i="7"/>
  <c r="P34" i="5"/>
  <c r="R34" i="7"/>
  <c r="AN33" i="5"/>
  <c r="AS33" i="7"/>
  <c r="AB33" i="5"/>
  <c r="AD33" i="7"/>
  <c r="P33" i="5"/>
  <c r="R33" i="7"/>
  <c r="AN32" i="5"/>
  <c r="AS32" i="7"/>
  <c r="AB32" i="5"/>
  <c r="AD32" i="7"/>
  <c r="P32" i="5"/>
  <c r="R32" i="7"/>
  <c r="AN31" i="5"/>
  <c r="AS31" i="7"/>
  <c r="AB31" i="5"/>
  <c r="AD31" i="7"/>
  <c r="P31" i="5"/>
  <c r="R31" i="7"/>
  <c r="AN30" i="5"/>
  <c r="AS30" i="7"/>
  <c r="AB30" i="5"/>
  <c r="AD30" i="7"/>
  <c r="P30" i="5"/>
  <c r="R30" i="7"/>
  <c r="AN29" i="5"/>
  <c r="AS29" i="7"/>
  <c r="AB29" i="5"/>
  <c r="AD29" i="7"/>
  <c r="P29" i="5"/>
  <c r="R29" i="7"/>
  <c r="AN28" i="5"/>
  <c r="AS28" i="7"/>
  <c r="AB28" i="5"/>
  <c r="AD28" i="7"/>
  <c r="P28" i="5"/>
  <c r="R28" i="7"/>
  <c r="AN27" i="5"/>
  <c r="AS27" i="7"/>
  <c r="AB27" i="5"/>
  <c r="AD27" i="7"/>
  <c r="P27" i="5"/>
  <c r="R27" i="7"/>
  <c r="AN26" i="5"/>
  <c r="AS26" i="7"/>
  <c r="AB26" i="5"/>
  <c r="AD26" i="7"/>
  <c r="P26" i="5"/>
  <c r="R26" i="7"/>
  <c r="AN25" i="5"/>
  <c r="AS25" i="7"/>
  <c r="AB25" i="5"/>
  <c r="AD25" i="7"/>
  <c r="P25" i="5"/>
  <c r="R25" i="7"/>
  <c r="AN24" i="5"/>
  <c r="AS24" i="7"/>
  <c r="AB24" i="5"/>
  <c r="AD24" i="7"/>
  <c r="P24" i="5"/>
  <c r="R24" i="7"/>
  <c r="AN20" i="5"/>
  <c r="AS20" i="7"/>
  <c r="AB20" i="5"/>
  <c r="AD20" i="7"/>
  <c r="P20" i="5"/>
  <c r="R20" i="7"/>
  <c r="AN19" i="5"/>
  <c r="AS19" i="7"/>
  <c r="AB19" i="5"/>
  <c r="AD19" i="7"/>
  <c r="P19" i="5"/>
  <c r="R19" i="7"/>
  <c r="AN18" i="5"/>
  <c r="AS18" i="7"/>
  <c r="AB18" i="5"/>
  <c r="AD18" i="7"/>
  <c r="P18" i="5"/>
  <c r="R18" i="7"/>
  <c r="AN17" i="5"/>
  <c r="AS17" i="7"/>
  <c r="AB17" i="5"/>
  <c r="AD17" i="7"/>
  <c r="P17" i="5"/>
  <c r="R17" i="7"/>
  <c r="AN16" i="5"/>
  <c r="AS16" i="7"/>
  <c r="AB16" i="5"/>
  <c r="AD16" i="7"/>
  <c r="P16" i="5"/>
  <c r="R16" i="7"/>
  <c r="AN15" i="5"/>
  <c r="AS15" i="7"/>
  <c r="AB15" i="5"/>
  <c r="AD15" i="7"/>
  <c r="P15" i="5"/>
  <c r="R15" i="7"/>
  <c r="AN14" i="5"/>
  <c r="AS14" i="7"/>
  <c r="AB14" i="5"/>
  <c r="AD14" i="7"/>
  <c r="P14" i="5"/>
  <c r="R14" i="7"/>
  <c r="AN13" i="5"/>
  <c r="AS13" i="7"/>
  <c r="AB13" i="5"/>
  <c r="AD13" i="7"/>
  <c r="P13" i="5"/>
  <c r="R13" i="7"/>
  <c r="AL49" i="5"/>
  <c r="AN49" i="7"/>
  <c r="N47" i="5"/>
  <c r="P47" i="7"/>
  <c r="AL46" i="5"/>
  <c r="AN46" i="7"/>
  <c r="AL45" i="5"/>
  <c r="AN45" i="7"/>
  <c r="Z43" i="5"/>
  <c r="AB43" i="7"/>
  <c r="AL42" i="5"/>
  <c r="AN42" i="7"/>
  <c r="N42" i="5"/>
  <c r="P42" i="7"/>
  <c r="N41" i="5"/>
  <c r="P41" i="7"/>
  <c r="N39" i="5"/>
  <c r="P39" i="7"/>
  <c r="N38" i="5"/>
  <c r="P38" i="7"/>
  <c r="Z37" i="5"/>
  <c r="AB37" i="7"/>
  <c r="N35" i="5"/>
  <c r="P35" i="7"/>
  <c r="AL34" i="5"/>
  <c r="AN34" i="7"/>
  <c r="N34" i="5"/>
  <c r="P34" i="7"/>
  <c r="AL33" i="5"/>
  <c r="AN33" i="7"/>
  <c r="N32" i="5"/>
  <c r="P32" i="7"/>
  <c r="N30" i="5"/>
  <c r="P30" i="7"/>
  <c r="AL29" i="5"/>
  <c r="AN29" i="7"/>
  <c r="Z28" i="5"/>
  <c r="AB28" i="7"/>
  <c r="AL26" i="5"/>
  <c r="AN26" i="7"/>
  <c r="N26" i="5"/>
  <c r="P26" i="7"/>
  <c r="AL25" i="5"/>
  <c r="AN25" i="7"/>
  <c r="Z24" i="5"/>
  <c r="AB24" i="7"/>
  <c r="N19" i="5"/>
  <c r="P19" i="7"/>
  <c r="Z18" i="5"/>
  <c r="AB18" i="7"/>
  <c r="AL15" i="5"/>
  <c r="AN15" i="7"/>
  <c r="N13" i="5"/>
  <c r="P13" i="7"/>
  <c r="Y52" i="5"/>
  <c r="AA52" i="7"/>
  <c r="M50" i="5"/>
  <c r="O50" i="7"/>
  <c r="AK49" i="5"/>
  <c r="AM49" i="7"/>
  <c r="AK48" i="5"/>
  <c r="AM48" i="7"/>
  <c r="M46" i="5"/>
  <c r="O46" i="7"/>
  <c r="M45" i="5"/>
  <c r="O45" i="7"/>
  <c r="Y40" i="5"/>
  <c r="AA40" i="7"/>
  <c r="Y39" i="5"/>
  <c r="AA39" i="7"/>
  <c r="Y38" i="5"/>
  <c r="AA38" i="7"/>
  <c r="AK34" i="5"/>
  <c r="AM34" i="7"/>
  <c r="Y32" i="5"/>
  <c r="AA32" i="7"/>
  <c r="M32" i="5"/>
  <c r="O32" i="7"/>
  <c r="AK31" i="5"/>
  <c r="AM31" i="7"/>
  <c r="Y30" i="5"/>
  <c r="AA30" i="7"/>
  <c r="M19" i="5"/>
  <c r="O19" i="7"/>
  <c r="Y18" i="5"/>
  <c r="AA18" i="7"/>
  <c r="Y17" i="5"/>
  <c r="AA17" i="7"/>
  <c r="M14" i="5"/>
  <c r="O14" i="7"/>
  <c r="L52" i="5"/>
  <c r="N52" i="7"/>
  <c r="X50" i="5"/>
  <c r="Z50" i="7"/>
  <c r="AJ49" i="5"/>
  <c r="AL49" i="7"/>
  <c r="L48" i="5"/>
  <c r="N48" i="7"/>
  <c r="AJ46" i="5"/>
  <c r="AL46" i="7"/>
  <c r="AJ45" i="5"/>
  <c r="AL45" i="7"/>
  <c r="L45" i="5"/>
  <c r="N45" i="7"/>
  <c r="X44" i="5"/>
  <c r="Z44" i="7"/>
  <c r="AJ42" i="5"/>
  <c r="AL42" i="7"/>
  <c r="L42" i="5"/>
  <c r="N42" i="7"/>
  <c r="AJ41" i="5"/>
  <c r="AL41" i="7"/>
  <c r="L41" i="5"/>
  <c r="N41" i="7"/>
  <c r="X40" i="5"/>
  <c r="Z40" i="7"/>
  <c r="X39" i="5"/>
  <c r="Z39" i="7"/>
  <c r="X37" i="5"/>
  <c r="Z37" i="7"/>
  <c r="AJ36" i="5"/>
  <c r="AL36" i="7"/>
  <c r="L36" i="5"/>
  <c r="N36" i="7"/>
  <c r="L35" i="5"/>
  <c r="N35" i="7"/>
  <c r="AJ33" i="5"/>
  <c r="AL33" i="7"/>
  <c r="X33" i="5"/>
  <c r="Z33" i="7"/>
  <c r="L33" i="5"/>
  <c r="N33" i="7"/>
  <c r="AJ32" i="5"/>
  <c r="AL32" i="7"/>
  <c r="L31" i="5"/>
  <c r="N31" i="7"/>
  <c r="L28" i="5"/>
  <c r="N28" i="7"/>
  <c r="L27" i="5"/>
  <c r="N27" i="7"/>
  <c r="L24" i="5"/>
  <c r="N24" i="7"/>
  <c r="X20" i="5"/>
  <c r="Z20" i="7"/>
  <c r="AJ19" i="5"/>
  <c r="AL19" i="7"/>
  <c r="X17" i="5"/>
  <c r="Z17" i="7"/>
  <c r="L17" i="5"/>
  <c r="N17" i="7"/>
  <c r="L16" i="5"/>
  <c r="N16" i="7"/>
  <c r="W52" i="5"/>
  <c r="Y52" i="7"/>
  <c r="W51" i="5"/>
  <c r="Y51" i="7"/>
  <c r="W50" i="5"/>
  <c r="Y50" i="7"/>
  <c r="AI49" i="5"/>
  <c r="AK49" i="7"/>
  <c r="AI48" i="5"/>
  <c r="AK48" i="7"/>
  <c r="AI47" i="5"/>
  <c r="AK47" i="7"/>
  <c r="AI46" i="5"/>
  <c r="AK46" i="7"/>
  <c r="AI45" i="5"/>
  <c r="AK45" i="7"/>
  <c r="AI44" i="5"/>
  <c r="AK44" i="7"/>
  <c r="AI43" i="5"/>
  <c r="AK43" i="7"/>
  <c r="AI42" i="5"/>
  <c r="AK42" i="7"/>
  <c r="K41" i="5"/>
  <c r="M41" i="7"/>
  <c r="K40" i="5"/>
  <c r="M40" i="7"/>
  <c r="K39" i="5"/>
  <c r="M39" i="7"/>
  <c r="K38" i="5"/>
  <c r="M38" i="7"/>
  <c r="K37" i="5"/>
  <c r="M37" i="7"/>
  <c r="K36" i="5"/>
  <c r="M36" i="7"/>
  <c r="K35" i="5"/>
  <c r="M35" i="7"/>
  <c r="K34" i="5"/>
  <c r="M34" i="7"/>
  <c r="K33" i="5"/>
  <c r="M33" i="7"/>
  <c r="K32" i="5"/>
  <c r="M32" i="7"/>
  <c r="K31" i="5"/>
  <c r="M31" i="7"/>
  <c r="K30" i="5"/>
  <c r="M30" i="7"/>
  <c r="K29" i="5"/>
  <c r="M29" i="7"/>
  <c r="K28" i="5"/>
  <c r="M28" i="7"/>
  <c r="AS26" i="5"/>
  <c r="AX26" i="7"/>
  <c r="AI25" i="5"/>
  <c r="AK25" i="7"/>
  <c r="W24" i="5"/>
  <c r="Y24" i="7"/>
  <c r="W20" i="5"/>
  <c r="Y20" i="7"/>
  <c r="W19" i="5"/>
  <c r="Y19" i="7"/>
  <c r="AI18" i="5"/>
  <c r="AK18" i="7"/>
  <c r="W17" i="5"/>
  <c r="Y17" i="7"/>
  <c r="W15" i="5"/>
  <c r="Y15" i="7"/>
  <c r="AH52" i="5"/>
  <c r="AJ52" i="7"/>
  <c r="AH51" i="5"/>
  <c r="AJ51" i="7"/>
  <c r="AH50" i="5"/>
  <c r="AJ50" i="7"/>
  <c r="AH49" i="5"/>
  <c r="AJ49" i="7"/>
  <c r="V48" i="5"/>
  <c r="X48" i="7"/>
  <c r="V47" i="5"/>
  <c r="X47" i="7"/>
  <c r="V46" i="5"/>
  <c r="X46" i="7"/>
  <c r="J45" i="5"/>
  <c r="L45" i="7"/>
  <c r="J44" i="5"/>
  <c r="L44" i="7"/>
  <c r="J43" i="5"/>
  <c r="L43" i="7"/>
  <c r="J42" i="5"/>
  <c r="L42" i="7"/>
  <c r="AR41" i="5"/>
  <c r="AW41" i="7"/>
  <c r="AR40" i="5"/>
  <c r="AW40" i="7"/>
  <c r="AH39" i="5"/>
  <c r="AJ39" i="7"/>
  <c r="AH38" i="5"/>
  <c r="AJ38" i="7"/>
  <c r="AH37" i="5"/>
  <c r="AJ37" i="7"/>
  <c r="AR36" i="5"/>
  <c r="AW36" i="7"/>
  <c r="AR35" i="5"/>
  <c r="AW35" i="7"/>
  <c r="AR34" i="5"/>
  <c r="AW34" i="7"/>
  <c r="AR33" i="5"/>
  <c r="AW33" i="7"/>
  <c r="AR32" i="5"/>
  <c r="AW32" i="7"/>
  <c r="AR31" i="5"/>
  <c r="AW31" i="7"/>
  <c r="AR30" i="5"/>
  <c r="AW30" i="7"/>
  <c r="J30" i="5"/>
  <c r="L30" i="7"/>
  <c r="J29" i="5"/>
  <c r="L29" i="7"/>
  <c r="J28" i="5"/>
  <c r="L28" i="7"/>
  <c r="J27" i="5"/>
  <c r="L27" i="7"/>
  <c r="J26" i="5"/>
  <c r="L26" i="7"/>
  <c r="J25" i="5"/>
  <c r="L25" i="7"/>
  <c r="J24" i="5"/>
  <c r="L24" i="7"/>
  <c r="J20" i="5"/>
  <c r="L20" i="7"/>
  <c r="V19" i="5"/>
  <c r="X19" i="7"/>
  <c r="V18" i="5"/>
  <c r="X18" i="7"/>
  <c r="V17" i="5"/>
  <c r="X17" i="7"/>
  <c r="V16" i="5"/>
  <c r="X16" i="7"/>
  <c r="J15" i="5"/>
  <c r="L15" i="7"/>
  <c r="AR13" i="5"/>
  <c r="I52" i="5"/>
  <c r="K52" i="7"/>
  <c r="U51" i="5"/>
  <c r="W51" i="7"/>
  <c r="U50" i="5"/>
  <c r="W50" i="7"/>
  <c r="U49" i="5"/>
  <c r="W49" i="7"/>
  <c r="U48" i="5"/>
  <c r="W48" i="7"/>
  <c r="U47" i="5"/>
  <c r="W47" i="7"/>
  <c r="U46" i="5"/>
  <c r="W46" i="7"/>
  <c r="U45" i="5"/>
  <c r="W45" i="7"/>
  <c r="U44" i="5"/>
  <c r="W44" i="7"/>
  <c r="U43" i="5"/>
  <c r="W43" i="7"/>
  <c r="U42" i="5"/>
  <c r="W42" i="7"/>
  <c r="U41" i="5"/>
  <c r="W41" i="7"/>
  <c r="AG40" i="5"/>
  <c r="AI40" i="7"/>
  <c r="AG39" i="5"/>
  <c r="AI39" i="7"/>
  <c r="AG38" i="5"/>
  <c r="AI38" i="7"/>
  <c r="AG37" i="5"/>
  <c r="AI37" i="7"/>
  <c r="AG36" i="5"/>
  <c r="AI36" i="7"/>
  <c r="AG35" i="5"/>
  <c r="AI35" i="7"/>
  <c r="U34" i="5"/>
  <c r="W34" i="7"/>
  <c r="U33" i="5"/>
  <c r="W33" i="7"/>
  <c r="U32" i="5"/>
  <c r="W32" i="7"/>
  <c r="U31" i="5"/>
  <c r="W31" i="7"/>
  <c r="U30" i="5"/>
  <c r="W30" i="7"/>
  <c r="U29" i="5"/>
  <c r="W29" i="7"/>
  <c r="U28" i="5"/>
  <c r="W28" i="7"/>
  <c r="U27" i="5"/>
  <c r="W27" i="7"/>
  <c r="U26" i="5"/>
  <c r="W26" i="7"/>
  <c r="AU25" i="5"/>
  <c r="BC26" i="7"/>
  <c r="AU24" i="5"/>
  <c r="BC25" i="7"/>
  <c r="I24" i="5"/>
  <c r="K24" i="7"/>
  <c r="I20" i="5"/>
  <c r="K20" i="7"/>
  <c r="I19" i="5"/>
  <c r="K19" i="7"/>
  <c r="AU17" i="5"/>
  <c r="BC18" i="7"/>
  <c r="AU16" i="5"/>
  <c r="BC17" i="7"/>
  <c r="AG15" i="5"/>
  <c r="AI15" i="7"/>
  <c r="I14" i="5"/>
  <c r="K14" i="7"/>
  <c r="T52" i="5"/>
  <c r="V52" i="7"/>
  <c r="H51" i="5"/>
  <c r="J51" i="7"/>
  <c r="H50" i="5"/>
  <c r="J50" i="7"/>
  <c r="H49" i="5"/>
  <c r="J49" i="7"/>
  <c r="H48" i="5"/>
  <c r="J48" i="7"/>
  <c r="H47" i="5"/>
  <c r="J47" i="7"/>
  <c r="T46" i="5"/>
  <c r="V46" i="7"/>
  <c r="T45" i="5"/>
  <c r="V45" i="7"/>
  <c r="T44" i="5"/>
  <c r="V44" i="7"/>
  <c r="T43" i="5"/>
  <c r="V43" i="7"/>
  <c r="T42" i="5"/>
  <c r="V42" i="7"/>
  <c r="T41" i="5"/>
  <c r="V41" i="7"/>
  <c r="T40" i="5"/>
  <c r="V40" i="7"/>
  <c r="T39" i="5"/>
  <c r="V39" i="7"/>
  <c r="T38" i="5"/>
  <c r="V38" i="7"/>
  <c r="H37" i="5"/>
  <c r="J37" i="7"/>
  <c r="T36" i="5"/>
  <c r="V36" i="7"/>
  <c r="T35" i="5"/>
  <c r="V35" i="7"/>
  <c r="AF34" i="5"/>
  <c r="AH34" i="7"/>
  <c r="T33" i="5"/>
  <c r="V33" i="7"/>
  <c r="T32" i="5"/>
  <c r="V32" i="7"/>
  <c r="AF31" i="5"/>
  <c r="AH31" i="7"/>
  <c r="AF30" i="5"/>
  <c r="AH30" i="7"/>
  <c r="AF29" i="5"/>
  <c r="AH29" i="7"/>
  <c r="AF28" i="5"/>
  <c r="AH28" i="7"/>
  <c r="T27" i="5"/>
  <c r="V27" i="7"/>
  <c r="T26" i="5"/>
  <c r="V26" i="7"/>
  <c r="AF25" i="5"/>
  <c r="AH25" i="7"/>
  <c r="T24" i="5"/>
  <c r="V24" i="7"/>
  <c r="T20" i="5"/>
  <c r="V20" i="7"/>
  <c r="T19" i="5"/>
  <c r="V19" i="7"/>
  <c r="AF18" i="5"/>
  <c r="AH18" i="7"/>
  <c r="H17" i="5"/>
  <c r="J17" i="7"/>
  <c r="T15" i="5"/>
  <c r="V15" i="7"/>
  <c r="AQ52" i="5"/>
  <c r="AV52" i="7"/>
  <c r="AQ51" i="5"/>
  <c r="AV51" i="7"/>
  <c r="AQ50" i="5"/>
  <c r="AV50" i="7"/>
  <c r="AQ49" i="5"/>
  <c r="AV49" i="7"/>
  <c r="AQ48" i="5"/>
  <c r="AV48" i="7"/>
  <c r="AQ47" i="5"/>
  <c r="AV47" i="7"/>
  <c r="AE46" i="5"/>
  <c r="AG46" i="7"/>
  <c r="AE45" i="5"/>
  <c r="AG45" i="7"/>
  <c r="AE44" i="5"/>
  <c r="AG44" i="7"/>
  <c r="AQ43" i="5"/>
  <c r="AV43" i="7"/>
  <c r="AQ42" i="5"/>
  <c r="AV42" i="7"/>
  <c r="AE41" i="5"/>
  <c r="AG41" i="7"/>
  <c r="G38" i="5"/>
  <c r="I38" i="7"/>
  <c r="AN52" i="5"/>
  <c r="AS52" i="7"/>
  <c r="AN51" i="5"/>
  <c r="AS51" i="7"/>
  <c r="AB51" i="5"/>
  <c r="AD51" i="7"/>
  <c r="P51" i="5"/>
  <c r="R51" i="7"/>
  <c r="AN50" i="5"/>
  <c r="AS50" i="7"/>
  <c r="AB50" i="5"/>
  <c r="AD50" i="7"/>
  <c r="P50" i="5"/>
  <c r="R50" i="7"/>
  <c r="AN49" i="5"/>
  <c r="AS49" i="7"/>
  <c r="AN48" i="5"/>
  <c r="AS48" i="7"/>
  <c r="AB48" i="5"/>
  <c r="AD48" i="7"/>
  <c r="P48" i="5"/>
  <c r="R48" i="7"/>
  <c r="AB45" i="5"/>
  <c r="AD45" i="7"/>
  <c r="P45" i="5"/>
  <c r="R45" i="7"/>
  <c r="AN43" i="5"/>
  <c r="AS43" i="7"/>
  <c r="P43" i="5"/>
  <c r="R43" i="7"/>
  <c r="AB40" i="5"/>
  <c r="AD40" i="7"/>
  <c r="AN39" i="5"/>
  <c r="AS39" i="7"/>
  <c r="AB39" i="5"/>
  <c r="AD39" i="7"/>
  <c r="P39" i="5"/>
  <c r="R39" i="7"/>
  <c r="AN38" i="5"/>
  <c r="AS38" i="7"/>
  <c r="AB38" i="5"/>
  <c r="AD38" i="7"/>
  <c r="P38" i="5"/>
  <c r="R38" i="7"/>
  <c r="AN37" i="5"/>
  <c r="AS37" i="7"/>
  <c r="P36" i="5"/>
  <c r="R36" i="7"/>
  <c r="AM52" i="5"/>
  <c r="AO52" i="7"/>
  <c r="AA52" i="5"/>
  <c r="AC52" i="7"/>
  <c r="O52" i="5"/>
  <c r="Q52" i="7"/>
  <c r="AM51" i="5"/>
  <c r="AO51" i="7"/>
  <c r="AA51" i="5"/>
  <c r="AC51" i="7"/>
  <c r="O51" i="5"/>
  <c r="Q51" i="7"/>
  <c r="AM50" i="5"/>
  <c r="AO50" i="7"/>
  <c r="AA50" i="5"/>
  <c r="AC50" i="7"/>
  <c r="O50" i="5"/>
  <c r="Q50" i="7"/>
  <c r="AM49" i="5"/>
  <c r="AO49" i="7"/>
  <c r="AA49" i="5"/>
  <c r="AC49" i="7"/>
  <c r="O49" i="5"/>
  <c r="Q49" i="7"/>
  <c r="AM48" i="5"/>
  <c r="AO48" i="7"/>
  <c r="AA48" i="5"/>
  <c r="AC48" i="7"/>
  <c r="O48" i="5"/>
  <c r="Q48" i="7"/>
  <c r="AM47" i="5"/>
  <c r="AO47" i="7"/>
  <c r="AA47" i="5"/>
  <c r="AC47" i="7"/>
  <c r="O47" i="5"/>
  <c r="Q47" i="7"/>
  <c r="AM46" i="5"/>
  <c r="AO46" i="7"/>
  <c r="AA46" i="5"/>
  <c r="AC46" i="7"/>
  <c r="O46" i="5"/>
  <c r="Q46" i="7"/>
  <c r="AM45" i="5"/>
  <c r="AO45" i="7"/>
  <c r="AA45" i="5"/>
  <c r="AC45" i="7"/>
  <c r="O45" i="5"/>
  <c r="Q45" i="7"/>
  <c r="AM44" i="5"/>
  <c r="AO44" i="7"/>
  <c r="AA44" i="5"/>
  <c r="AC44" i="7"/>
  <c r="O44" i="5"/>
  <c r="Q44" i="7"/>
  <c r="AM43" i="5"/>
  <c r="AO43" i="7"/>
  <c r="AA43" i="5"/>
  <c r="AC43" i="7"/>
  <c r="O43" i="5"/>
  <c r="Q43" i="7"/>
  <c r="AM42" i="5"/>
  <c r="AO42" i="7"/>
  <c r="AA42" i="5"/>
  <c r="AC42" i="7"/>
  <c r="O42" i="5"/>
  <c r="Q42" i="7"/>
  <c r="AM41" i="5"/>
  <c r="AO41" i="7"/>
  <c r="AA41" i="5"/>
  <c r="AC41" i="7"/>
  <c r="O41" i="5"/>
  <c r="Q41" i="7"/>
  <c r="AM40" i="5"/>
  <c r="AO40" i="7"/>
  <c r="AA40" i="5"/>
  <c r="AC40" i="7"/>
  <c r="O40" i="5"/>
  <c r="Q40" i="7"/>
  <c r="AM39" i="5"/>
  <c r="AO39" i="7"/>
  <c r="AA39" i="5"/>
  <c r="AC39" i="7"/>
  <c r="O39" i="5"/>
  <c r="Q39" i="7"/>
  <c r="AM38" i="5"/>
  <c r="AO38" i="7"/>
  <c r="AA38" i="5"/>
  <c r="AC38" i="7"/>
  <c r="O38" i="5"/>
  <c r="Q38" i="7"/>
  <c r="AM37" i="5"/>
  <c r="AO37" i="7"/>
  <c r="AA37" i="5"/>
  <c r="AC37" i="7"/>
  <c r="O37" i="5"/>
  <c r="Q37" i="7"/>
  <c r="AM36" i="5"/>
  <c r="AO36" i="7"/>
  <c r="AA36" i="5"/>
  <c r="AC36" i="7"/>
  <c r="O36" i="5"/>
  <c r="Q36" i="7"/>
  <c r="AM35" i="5"/>
  <c r="AO35" i="7"/>
  <c r="AA35" i="5"/>
  <c r="AC35" i="7"/>
  <c r="O35" i="5"/>
  <c r="Q35" i="7"/>
  <c r="AM34" i="5"/>
  <c r="AO34" i="7"/>
  <c r="AA34" i="5"/>
  <c r="AC34" i="7"/>
  <c r="O34" i="5"/>
  <c r="Q34" i="7"/>
  <c r="AM33" i="5"/>
  <c r="AO33" i="7"/>
  <c r="AA33" i="5"/>
  <c r="AC33" i="7"/>
  <c r="O33" i="5"/>
  <c r="Q33" i="7"/>
  <c r="AM32" i="5"/>
  <c r="AO32" i="7"/>
  <c r="AA32" i="5"/>
  <c r="AC32" i="7"/>
  <c r="O32" i="5"/>
  <c r="Q32" i="7"/>
  <c r="AM31" i="5"/>
  <c r="AO31" i="7"/>
  <c r="AA31" i="5"/>
  <c r="AC31" i="7"/>
  <c r="O31" i="5"/>
  <c r="Q31" i="7"/>
  <c r="AM30" i="5"/>
  <c r="AO30" i="7"/>
  <c r="AA30" i="5"/>
  <c r="AC30" i="7"/>
  <c r="O30" i="5"/>
  <c r="Q30" i="7"/>
  <c r="AM29" i="5"/>
  <c r="AO29" i="7"/>
  <c r="AA29" i="5"/>
  <c r="AC29" i="7"/>
  <c r="AM28" i="5"/>
  <c r="AO28" i="7"/>
  <c r="AA28" i="5"/>
  <c r="AC28" i="7"/>
  <c r="O28" i="5"/>
  <c r="Q28" i="7"/>
  <c r="AM27" i="5"/>
  <c r="AO27" i="7"/>
  <c r="AA27" i="5"/>
  <c r="AC27" i="7"/>
  <c r="O27" i="5"/>
  <c r="Q27" i="7"/>
  <c r="AM26" i="5"/>
  <c r="AO26" i="7"/>
  <c r="AA26" i="5"/>
  <c r="AC26" i="7"/>
  <c r="O26" i="5"/>
  <c r="Q26" i="7"/>
  <c r="AM25" i="5"/>
  <c r="AO25" i="7"/>
  <c r="AA25" i="5"/>
  <c r="AC25" i="7"/>
  <c r="O25" i="5"/>
  <c r="Q25" i="7"/>
  <c r="AM24" i="5"/>
  <c r="AO24" i="7"/>
  <c r="AA24" i="5"/>
  <c r="AC24" i="7"/>
  <c r="O24" i="5"/>
  <c r="Q24" i="7"/>
  <c r="AM20" i="5"/>
  <c r="AO20" i="7"/>
  <c r="AA20" i="5"/>
  <c r="AC20" i="7"/>
  <c r="O20" i="5"/>
  <c r="Q20" i="7"/>
  <c r="AM19" i="5"/>
  <c r="AO19" i="7"/>
  <c r="AA19" i="5"/>
  <c r="AC19" i="7"/>
  <c r="O19" i="5"/>
  <c r="Q19" i="7"/>
  <c r="AM18" i="5"/>
  <c r="AO18" i="7"/>
  <c r="AA18" i="5"/>
  <c r="AC18" i="7"/>
  <c r="O18" i="5"/>
  <c r="Q18" i="7"/>
  <c r="AM17" i="5"/>
  <c r="AO17" i="7"/>
  <c r="AA17" i="5"/>
  <c r="AC17" i="7"/>
  <c r="O17" i="5"/>
  <c r="Q17" i="7"/>
  <c r="AM16" i="5"/>
  <c r="AO16" i="7"/>
  <c r="AA16" i="5"/>
  <c r="AC16" i="7"/>
  <c r="O16" i="5"/>
  <c r="Q16" i="7"/>
  <c r="AM15" i="5"/>
  <c r="AO15" i="7"/>
  <c r="AA15" i="5"/>
  <c r="AC15" i="7"/>
  <c r="O15" i="5"/>
  <c r="Q15" i="7"/>
  <c r="AM14" i="5"/>
  <c r="AO14" i="7"/>
  <c r="AA14" i="5"/>
  <c r="AC14" i="7"/>
  <c r="O14" i="5"/>
  <c r="Q14" i="7"/>
  <c r="AM13" i="5"/>
  <c r="AO13" i="7"/>
  <c r="AA13" i="5"/>
  <c r="AC13" i="7"/>
  <c r="O13" i="5"/>
  <c r="Q13" i="7"/>
  <c r="O29" i="5" l="1"/>
  <c r="N29" i="5"/>
  <c r="C29" i="5" s="1"/>
  <c r="AZ38" i="7"/>
  <c r="AZ51" i="7"/>
  <c r="AZ40" i="7"/>
  <c r="AZ37" i="7"/>
  <c r="AZ32" i="7"/>
  <c r="AZ24" i="7"/>
  <c r="AZ18" i="7"/>
  <c r="AZ35" i="7"/>
  <c r="AZ50" i="7"/>
  <c r="AZ36" i="7"/>
  <c r="AZ52" i="7"/>
  <c r="AZ28" i="7"/>
  <c r="AZ43" i="7"/>
  <c r="AZ46" i="7"/>
  <c r="AZ42" i="7"/>
  <c r="AZ30" i="7"/>
  <c r="AZ45" i="7"/>
  <c r="AZ47" i="7"/>
  <c r="AZ44" i="7"/>
  <c r="AZ29" i="7"/>
  <c r="AZ48" i="7"/>
  <c r="AZ33" i="7"/>
  <c r="AZ49" i="7"/>
  <c r="AZ41" i="7"/>
  <c r="AZ27" i="7"/>
  <c r="AZ25" i="7"/>
  <c r="AZ26" i="7"/>
  <c r="AZ20" i="7"/>
  <c r="AZ19" i="7"/>
  <c r="AZ15" i="7"/>
  <c r="AY15" i="7"/>
  <c r="AZ17" i="7"/>
  <c r="AZ14" i="7"/>
  <c r="AY20" i="7"/>
  <c r="AY14" i="7"/>
  <c r="AY18" i="7"/>
  <c r="AY13" i="7"/>
  <c r="C17" i="5"/>
  <c r="C38" i="5"/>
  <c r="C41" i="5"/>
  <c r="C50" i="5"/>
  <c r="C14" i="5"/>
  <c r="C20" i="5"/>
  <c r="C26" i="5"/>
  <c r="C32" i="5"/>
  <c r="C35" i="5"/>
  <c r="C44" i="5"/>
  <c r="C47" i="5"/>
  <c r="C13" i="5"/>
  <c r="C16" i="5"/>
  <c r="C19" i="5"/>
  <c r="C25" i="5"/>
  <c r="C28" i="5"/>
  <c r="C31" i="5"/>
  <c r="C34" i="5"/>
  <c r="C37" i="5"/>
  <c r="C40" i="5"/>
  <c r="C43" i="5"/>
  <c r="C46" i="5"/>
  <c r="C49" i="5"/>
  <c r="C52" i="5"/>
  <c r="C15" i="5"/>
  <c r="C18" i="5"/>
  <c r="C24" i="5"/>
  <c r="C27" i="5"/>
  <c r="C30" i="5"/>
  <c r="C33" i="5"/>
  <c r="C36" i="5"/>
  <c r="C39" i="5"/>
  <c r="C42" i="5"/>
  <c r="C45" i="5"/>
  <c r="C48" i="5"/>
  <c r="C51" i="5"/>
  <c r="AY49" i="7"/>
  <c r="BE7" i="5"/>
  <c r="AY27" i="7"/>
  <c r="AY30" i="7"/>
  <c r="AY51" i="7"/>
  <c r="AY41" i="7"/>
  <c r="AY42" i="7"/>
  <c r="AY48" i="7"/>
  <c r="AV4" i="4"/>
  <c r="BE4" i="5" s="1"/>
  <c r="AY24" i="7"/>
  <c r="AY39" i="7"/>
  <c r="AY36" i="7"/>
  <c r="AY19" i="7"/>
  <c r="AY28" i="7"/>
  <c r="E28" i="7"/>
  <c r="AP28" i="7" s="1"/>
  <c r="E34" i="7"/>
  <c r="AP34" i="7" s="1"/>
  <c r="AY45" i="7"/>
  <c r="E24" i="7"/>
  <c r="AP24" i="7" s="1"/>
  <c r="E45" i="7"/>
  <c r="AY25" i="7"/>
  <c r="AY37" i="7"/>
  <c r="AY43" i="7"/>
  <c r="E16" i="7"/>
  <c r="AP16" i="7" s="1"/>
  <c r="E37" i="7"/>
  <c r="E46" i="7"/>
  <c r="AY46" i="7"/>
  <c r="AY40" i="7"/>
  <c r="E33" i="7"/>
  <c r="AP33" i="7" s="1"/>
  <c r="E42" i="7"/>
  <c r="E43" i="7"/>
  <c r="AY33" i="7"/>
  <c r="E19" i="7"/>
  <c r="AP19" i="7" s="1"/>
  <c r="E40" i="7"/>
  <c r="E52" i="7"/>
  <c r="AY34" i="7"/>
  <c r="E18" i="7"/>
  <c r="AP18" i="7" s="1"/>
  <c r="E27" i="7"/>
  <c r="AP27" i="7" s="1"/>
  <c r="E39" i="7"/>
  <c r="E48" i="7"/>
  <c r="AY29" i="7"/>
  <c r="AY47" i="7"/>
  <c r="E29" i="7"/>
  <c r="AP29" i="7" s="1"/>
  <c r="AY17" i="7"/>
  <c r="AY26" i="7"/>
  <c r="AY32" i="7"/>
  <c r="AY50" i="7"/>
  <c r="E13" i="7"/>
  <c r="AP13" i="7" s="1"/>
  <c r="AY16" i="7"/>
  <c r="E17" i="7"/>
  <c r="AP17" i="7" s="1"/>
  <c r="E20" i="7"/>
  <c r="AP20" i="7" s="1"/>
  <c r="E26" i="7"/>
  <c r="AP26" i="7" s="1"/>
  <c r="E32" i="7"/>
  <c r="AP32" i="7" s="1"/>
  <c r="E35" i="7"/>
  <c r="AP35" i="7" s="1"/>
  <c r="E38" i="7"/>
  <c r="E41" i="7"/>
  <c r="E44" i="7"/>
  <c r="E47" i="7"/>
  <c r="E50" i="7"/>
  <c r="AY31" i="7"/>
  <c r="AY38" i="7"/>
  <c r="AY44" i="7"/>
  <c r="E25" i="7"/>
  <c r="AP25" i="7" s="1"/>
  <c r="E31" i="7"/>
  <c r="AP31" i="7" s="1"/>
  <c r="E49" i="7"/>
  <c r="E15" i="7"/>
  <c r="E30" i="7"/>
  <c r="AP30" i="7" s="1"/>
  <c r="E36" i="7"/>
  <c r="AP36" i="7" s="1"/>
  <c r="E51" i="7"/>
  <c r="AY35" i="7"/>
  <c r="E14" i="7"/>
  <c r="AP14" i="7" s="1"/>
  <c r="BE6" i="5" l="1"/>
  <c r="F4" i="4"/>
  <c r="AE4" i="4"/>
  <c r="AQ4" i="4"/>
  <c r="K4" i="4"/>
  <c r="M4" i="7" s="1"/>
  <c r="T4" i="4"/>
  <c r="AA4" i="4"/>
  <c r="AU4" i="4"/>
  <c r="X4" i="4"/>
  <c r="AI4" i="4"/>
  <c r="Y4" i="4"/>
  <c r="AL4" i="4"/>
  <c r="H4" i="4"/>
  <c r="J4" i="7" s="1"/>
  <c r="AM4" i="4"/>
  <c r="U4" i="4"/>
  <c r="AG4" i="4"/>
  <c r="O4" i="4"/>
  <c r="O4" i="5" s="1"/>
  <c r="AT4" i="4"/>
  <c r="R4" i="4"/>
  <c r="AN4" i="4"/>
  <c r="AD4" i="4"/>
  <c r="AP4" i="4"/>
  <c r="AK4" i="4"/>
  <c r="I4" i="4"/>
  <c r="K4" i="7" s="1"/>
  <c r="J4" i="4"/>
  <c r="AO4" i="4"/>
  <c r="N4" i="4"/>
  <c r="P4" i="7" s="1"/>
  <c r="P4" i="4"/>
  <c r="R4" i="7" s="1"/>
  <c r="AB4" i="4"/>
  <c r="Q4" i="4"/>
  <c r="S4" i="7" s="1"/>
  <c r="W4" i="4"/>
  <c r="AC4" i="4"/>
  <c r="AF4" i="4"/>
  <c r="L4" i="4"/>
  <c r="N4" i="7" s="1"/>
  <c r="AJ4" i="4"/>
  <c r="M4" i="4"/>
  <c r="M4" i="5" s="1"/>
  <c r="AR4" i="4"/>
  <c r="BB5" i="7" s="1"/>
  <c r="AS4" i="4"/>
  <c r="AH4" i="4"/>
  <c r="V4" i="4"/>
  <c r="S4" i="4"/>
  <c r="Z4" i="4"/>
  <c r="C12" i="4"/>
  <c r="G4" i="4"/>
  <c r="G4" i="5" s="1"/>
  <c r="E4" i="4"/>
  <c r="G4" i="7" s="1"/>
  <c r="F12" i="4"/>
  <c r="H12" i="7" s="1"/>
  <c r="D12" i="4"/>
  <c r="F12" i="7" s="1"/>
  <c r="F7" i="4"/>
  <c r="H7" i="7" s="1"/>
  <c r="F6" i="4"/>
  <c r="V6" i="7"/>
  <c r="Z7" i="7"/>
  <c r="AL7" i="7"/>
  <c r="P12" i="4"/>
  <c r="P12" i="5" s="1"/>
  <c r="AB12" i="4"/>
  <c r="AD12" i="7" s="1"/>
  <c r="K6" i="7"/>
  <c r="AI6" i="7"/>
  <c r="AJ6" i="7"/>
  <c r="AB7" i="7"/>
  <c r="AT7" i="7"/>
  <c r="AG12" i="4"/>
  <c r="AG12" i="5" s="1"/>
  <c r="AF7" i="7"/>
  <c r="J12" i="4"/>
  <c r="L12" i="7" s="1"/>
  <c r="AH12" i="4"/>
  <c r="AH12" i="5" s="1"/>
  <c r="Q6" i="7"/>
  <c r="G7" i="4"/>
  <c r="I7" i="7" s="1"/>
  <c r="AV7" i="7"/>
  <c r="W12" i="4"/>
  <c r="W12" i="5" s="1"/>
  <c r="R6" i="7"/>
  <c r="J7" i="7"/>
  <c r="V7" i="7"/>
  <c r="L12" i="4"/>
  <c r="N12" i="7" s="1"/>
  <c r="T6" i="7"/>
  <c r="AF6" i="7"/>
  <c r="AU6" i="7"/>
  <c r="L7" i="7"/>
  <c r="X7" i="7"/>
  <c r="AJ7" i="7"/>
  <c r="AW7" i="7"/>
  <c r="N12" i="4"/>
  <c r="N12" i="5" s="1"/>
  <c r="Z12" i="4"/>
  <c r="AB12" i="7" s="1"/>
  <c r="AL12" i="4"/>
  <c r="AN12" i="7" s="1"/>
  <c r="AH6" i="7"/>
  <c r="N7" i="7"/>
  <c r="W6" i="7"/>
  <c r="O7" i="7"/>
  <c r="AA7" i="7"/>
  <c r="Q12" i="4"/>
  <c r="Q12" i="5" s="1"/>
  <c r="AC12" i="4"/>
  <c r="AE12" i="7" s="1"/>
  <c r="L6" i="7"/>
  <c r="P7" i="7"/>
  <c r="R12" i="4"/>
  <c r="R12" i="5" s="1"/>
  <c r="M6" i="7"/>
  <c r="Y6" i="7"/>
  <c r="AX6" i="7"/>
  <c r="G12" i="4"/>
  <c r="I12" i="7" s="1"/>
  <c r="S12" i="4"/>
  <c r="S12" i="5" s="1"/>
  <c r="N6" i="7"/>
  <c r="Z6" i="7"/>
  <c r="R7" i="7"/>
  <c r="AS7" i="7"/>
  <c r="H12" i="4"/>
  <c r="H12" i="5" s="1"/>
  <c r="O6" i="7"/>
  <c r="S7" i="7"/>
  <c r="U12" i="4"/>
  <c r="U12" i="5" s="1"/>
  <c r="P6" i="7"/>
  <c r="AU7" i="7"/>
  <c r="AO6" i="7"/>
  <c r="U7" i="7"/>
  <c r="K12" i="4"/>
  <c r="K12" i="5" s="1"/>
  <c r="AS6" i="7"/>
  <c r="AH7" i="7"/>
  <c r="X12" i="4"/>
  <c r="Z12" i="7" s="1"/>
  <c r="G6" i="4"/>
  <c r="I6" i="7" s="1"/>
  <c r="M7" i="7"/>
  <c r="Y7" i="7"/>
  <c r="AK7" i="7"/>
  <c r="O12" i="4"/>
  <c r="Q12" i="7" s="1"/>
  <c r="AA12" i="4"/>
  <c r="AC12" i="7" s="1"/>
  <c r="AM12" i="4"/>
  <c r="AO12" i="7" s="1"/>
  <c r="AN12" i="4"/>
  <c r="AO12" i="4"/>
  <c r="AT12" i="7" s="1"/>
  <c r="AP12" i="4"/>
  <c r="AU12" i="7" s="1"/>
  <c r="AQ12" i="4"/>
  <c r="AQ12" i="5" s="1"/>
  <c r="AT12" i="4"/>
  <c r="AW12" i="7" s="1"/>
  <c r="AR12" i="4"/>
  <c r="AT12" i="5" s="1"/>
  <c r="AU12" i="4"/>
  <c r="AX12" i="7" s="1"/>
  <c r="AS12" i="4"/>
  <c r="BC13" i="7" s="1"/>
  <c r="J6" i="7"/>
  <c r="AW6" i="7"/>
  <c r="AD12" i="4"/>
  <c r="AF12" i="7" s="1"/>
  <c r="Q7" i="7"/>
  <c r="AC7" i="7"/>
  <c r="AE12" i="4"/>
  <c r="AE12" i="5" s="1"/>
  <c r="AD7" i="7"/>
  <c r="T12" i="4"/>
  <c r="T12" i="5" s="1"/>
  <c r="AF12" i="4"/>
  <c r="AF12" i="5" s="1"/>
  <c r="AA6" i="7"/>
  <c r="AM6" i="7"/>
  <c r="I12" i="4"/>
  <c r="I12" i="5" s="1"/>
  <c r="AB6" i="7"/>
  <c r="V12" i="4"/>
  <c r="X12" i="7" s="1"/>
  <c r="AI12" i="4"/>
  <c r="AK12" i="7" s="1"/>
  <c r="AD6" i="7"/>
  <c r="AJ12" i="4"/>
  <c r="AL12" i="7" s="1"/>
  <c r="S6" i="7"/>
  <c r="AE6" i="7"/>
  <c r="AT6" i="7"/>
  <c r="W7" i="7"/>
  <c r="AI7" i="7"/>
  <c r="AX7" i="7"/>
  <c r="M12" i="4"/>
  <c r="M12" i="5" s="1"/>
  <c r="Y12" i="4"/>
  <c r="AA12" i="7" s="1"/>
  <c r="AK12" i="4"/>
  <c r="AM12" i="7" s="1"/>
  <c r="H6" i="7" l="1"/>
  <c r="F6" i="5"/>
  <c r="AV12" i="7"/>
  <c r="AS12" i="7"/>
  <c r="N4" i="5"/>
  <c r="BC12" i="7"/>
  <c r="BC7" i="7"/>
  <c r="AN6" i="7"/>
  <c r="AE7" i="7"/>
  <c r="AK6" i="7"/>
  <c r="AN7" i="7"/>
  <c r="AL6" i="7"/>
  <c r="AO7" i="7"/>
  <c r="AG6" i="7"/>
  <c r="AM7" i="7"/>
  <c r="AG7" i="7"/>
  <c r="BB7" i="7"/>
  <c r="AC6" i="7"/>
  <c r="K7" i="7"/>
  <c r="U6" i="7"/>
  <c r="F4" i="5"/>
  <c r="H4" i="7"/>
  <c r="T7" i="7"/>
  <c r="AV6" i="7"/>
  <c r="X6" i="7"/>
  <c r="C7" i="4"/>
  <c r="AB12" i="5"/>
  <c r="AP12" i="5"/>
  <c r="AV4" i="7"/>
  <c r="AB4" i="7"/>
  <c r="V12" i="5"/>
  <c r="P4" i="5"/>
  <c r="AM4" i="7"/>
  <c r="AL4" i="7"/>
  <c r="C6" i="4"/>
  <c r="E12" i="4"/>
  <c r="G12" i="7" s="1"/>
  <c r="AD4" i="7"/>
  <c r="X4" i="7"/>
  <c r="Y4" i="7"/>
  <c r="AK12" i="5"/>
  <c r="T12" i="7"/>
  <c r="AL12" i="5"/>
  <c r="Y12" i="7"/>
  <c r="AN12" i="5"/>
  <c r="H4" i="5"/>
  <c r="AI4" i="7"/>
  <c r="AA4" i="7"/>
  <c r="AH4" i="7"/>
  <c r="E6" i="5"/>
  <c r="AA12" i="5"/>
  <c r="X12" i="5"/>
  <c r="U12" i="7"/>
  <c r="AI12" i="7"/>
  <c r="AE4" i="7"/>
  <c r="T4" i="7"/>
  <c r="AC12" i="5"/>
  <c r="AJ4" i="7"/>
  <c r="AF4" i="7"/>
  <c r="J12" i="7"/>
  <c r="AI12" i="5"/>
  <c r="BB13" i="7"/>
  <c r="AY12" i="7" s="1"/>
  <c r="L12" i="5"/>
  <c r="O4" i="7"/>
  <c r="AK4" i="7"/>
  <c r="K4" i="5"/>
  <c r="AS12" i="5"/>
  <c r="G6" i="5"/>
  <c r="AR12" i="5"/>
  <c r="BC5" i="7"/>
  <c r="AY4" i="7" s="1"/>
  <c r="AC4" i="7"/>
  <c r="M12" i="7"/>
  <c r="G7" i="5"/>
  <c r="Q4" i="7"/>
  <c r="AX4" i="7"/>
  <c r="V12" i="7"/>
  <c r="AU12" i="5"/>
  <c r="G12" i="5"/>
  <c r="I4" i="5"/>
  <c r="AS4" i="7"/>
  <c r="O12" i="7"/>
  <c r="K12" i="7"/>
  <c r="AJ12" i="7"/>
  <c r="S12" i="7"/>
  <c r="Z12" i="5"/>
  <c r="J12" i="5"/>
  <c r="R12" i="7"/>
  <c r="AD12" i="5"/>
  <c r="Y12" i="5"/>
  <c r="AM12" i="5"/>
  <c r="W12" i="7"/>
  <c r="P12" i="7"/>
  <c r="U4" i="7"/>
  <c r="L4" i="5"/>
  <c r="Q4" i="5"/>
  <c r="AT4" i="7"/>
  <c r="AO4" i="7"/>
  <c r="F12" i="5"/>
  <c r="F7" i="5"/>
  <c r="AG4" i="7"/>
  <c r="AG12" i="7"/>
  <c r="W4" i="7"/>
  <c r="V4" i="7"/>
  <c r="AJ12" i="5"/>
  <c r="C4" i="4"/>
  <c r="D4" i="4"/>
  <c r="AN4" i="7"/>
  <c r="AU4" i="7"/>
  <c r="BB12" i="7"/>
  <c r="AY11" i="7" s="1"/>
  <c r="O12" i="5"/>
  <c r="AW4" i="7"/>
  <c r="Z4" i="7"/>
  <c r="AO12" i="5"/>
  <c r="I4" i="7"/>
  <c r="AH12" i="7"/>
  <c r="L4" i="7"/>
  <c r="J4" i="5"/>
  <c r="E4" i="7" l="1"/>
  <c r="AY6" i="7"/>
  <c r="C6" i="5"/>
  <c r="C4" i="5"/>
  <c r="C7" i="5"/>
  <c r="C12" i="5"/>
  <c r="E12" i="5"/>
  <c r="E7" i="5"/>
  <c r="E7" i="7"/>
  <c r="E6" i="7"/>
  <c r="E12" i="7"/>
  <c r="AP12" i="7" s="1"/>
  <c r="D4" i="5"/>
  <c r="F4" i="7"/>
  <c r="AP6" i="7" l="1"/>
  <c r="AP7" i="7"/>
  <c r="F7" i="7" s="1"/>
  <c r="AP4" i="7" l="1"/>
  <c r="F6" i="7"/>
  <c r="G7" i="7"/>
  <c r="G6" i="7"/>
</calcChain>
</file>

<file path=xl/sharedStrings.xml><?xml version="1.0" encoding="utf-8"?>
<sst xmlns="http://schemas.openxmlformats.org/spreadsheetml/2006/main" count="941" uniqueCount="255">
  <si>
    <t>CONCEPTO</t>
  </si>
  <si>
    <t>T O T A L</t>
  </si>
  <si>
    <t>GRUPO DE EDAD (en años)</t>
  </si>
  <si>
    <t>Gestantes</t>
  </si>
  <si>
    <t xml:space="preserve">Madre de Hijo menor de 5 años </t>
  </si>
  <si>
    <t>Pueblos Originarios</t>
  </si>
  <si>
    <t xml:space="preserve"> Migrantes</t>
  </si>
  <si>
    <t>Niños, Niñas, Adolescentes y Jóvenes SENAME</t>
  </si>
  <si>
    <t>Niños, Niñas, Adolescentes y Jóvenes Mejor Niñez</t>
  </si>
  <si>
    <t>Plan Cuidado Integral Elaborado</t>
  </si>
  <si>
    <t xml:space="preserve">TRANS </t>
  </si>
  <si>
    <t>0 a 4 años</t>
  </si>
  <si>
    <t>5 a 9 años</t>
  </si>
  <si>
    <t>10 a 14 años</t>
  </si>
  <si>
    <t>15 a 19 años</t>
  </si>
  <si>
    <t>20 a 24 años</t>
  </si>
  <si>
    <t>25 a 29 años</t>
  </si>
  <si>
    <t>30 a 34 años</t>
  </si>
  <si>
    <t>35 a 39 años</t>
  </si>
  <si>
    <t>40 a 44 años</t>
  </si>
  <si>
    <t>45 a 49 años</t>
  </si>
  <si>
    <t>50 a 54 años</t>
  </si>
  <si>
    <t>55 a 59 años</t>
  </si>
  <si>
    <t>60 a 64 años</t>
  </si>
  <si>
    <t>65 a 69 años</t>
  </si>
  <si>
    <t>70 a 74 años</t>
  </si>
  <si>
    <t>75 a 79 años</t>
  </si>
  <si>
    <t>80 y más años</t>
  </si>
  <si>
    <t>Ambos
sexos</t>
  </si>
  <si>
    <t>Hombres</t>
  </si>
  <si>
    <t>Mujeres</t>
  </si>
  <si>
    <t xml:space="preserve">Hombres </t>
  </si>
  <si>
    <t>Masculino</t>
  </si>
  <si>
    <t xml:space="preserve">Femenino </t>
  </si>
  <si>
    <t>NUMERO DE PERSONAS EN CONTROL EN EL PROGRAMA</t>
  </si>
  <si>
    <t>FACTORES DE RIESGO Y CONDICIONANTES DE LA SALUD MENTAL</t>
  </si>
  <si>
    <t xml:space="preserve">VIOLENCIA </t>
  </si>
  <si>
    <t>VICTIMA</t>
  </si>
  <si>
    <t>AGRESOR/A</t>
  </si>
  <si>
    <t>ABUSO SEXUAL</t>
  </si>
  <si>
    <t>SUICIDIO</t>
  </si>
  <si>
    <t>IDEACIÓN</t>
  </si>
  <si>
    <t>INTENTO</t>
  </si>
  <si>
    <t xml:space="preserve">PERSONAS CON DIAGNOSTICOS DE TRASTORNOS MENTALES </t>
  </si>
  <si>
    <t>TRASTORNOS DEL HUMOR
(AFECTIVOS)</t>
  </si>
  <si>
    <t>DEPRESIÓN LEVE</t>
  </si>
  <si>
    <t>DEPRESIÓN MODERADA</t>
  </si>
  <si>
    <t>DEPRESIÓN GRAVE</t>
  </si>
  <si>
    <t>DEPRESIÓN POST PARTO</t>
  </si>
  <si>
    <t>TRASTORNO BIPOLAR</t>
  </si>
  <si>
    <t>TRASTORNOS MENTALES Y DEL COMPORTAMIENTO DEBIDO A CONSUMO SUSTANCIAS PSICOTROPICAS</t>
  </si>
  <si>
    <t xml:space="preserve">CONSUMO PERJUDICIAL DE ALCOHOL </t>
  </si>
  <si>
    <t xml:space="preserve">CONSUMO DEPENDIENTE DEL ALCOHOL </t>
  </si>
  <si>
    <t>CONSUMO PERJUDICIAL DE DROGAS</t>
  </si>
  <si>
    <t xml:space="preserve">CONSUMO DEPENDIENTE DE DROGAS </t>
  </si>
  <si>
    <t xml:space="preserve">CONSUMO DE DROGAS Y ALCOHOL </t>
  </si>
  <si>
    <t>TRASTORNOS DEL COMPORTAMIENTO Y DE LAS EMOCIONES DE COMIENZO HABITUAL EN LA INFANCIA Y ADOLESCENCIA</t>
  </si>
  <si>
    <t>TRASTORNO HIPERCINÉTICO</t>
  </si>
  <si>
    <t>TRASTORNO DISOCIAL DESAFIANTE Y OPOSICIONISTA</t>
  </si>
  <si>
    <t>TRASTORNO DE ANSIEDAD DE SEPARACIÓN EN LA INFANCIA</t>
  </si>
  <si>
    <t>OTROS TRASTORNOS DEL COMPORTAMIENTO Y DE LAS EMOCIONES DE COMIENZO HABITUAL EN LA INFANCIA Y ADOLESCENCIA</t>
  </si>
  <si>
    <t>TRASTORNOS DE ANSIEDAD</t>
  </si>
  <si>
    <t>TRASTORNO DE ESTRÉS POST TRAUMATICO</t>
  </si>
  <si>
    <t>TRASTORNO DE PÁNICO</t>
  </si>
  <si>
    <t>FOBIAS SOCIALES</t>
  </si>
  <si>
    <t>TRASTORNOS DE ANSIEDAD GENERALIZADA</t>
  </si>
  <si>
    <t>OTROS TRASTORNOS DE ANSIEDAD</t>
  </si>
  <si>
    <t>DEMENCIAS (INCLUYE ALZHEIMER)</t>
  </si>
  <si>
    <t>LEVE</t>
  </si>
  <si>
    <t>MODERADO</t>
  </si>
  <si>
    <t>AVANZADO</t>
  </si>
  <si>
    <t>ESQUIZOFRENIA</t>
  </si>
  <si>
    <t>TRASTORNO ADAPTATIVO</t>
  </si>
  <si>
    <t>TRASTORNOS DE LA CONDUCTA ALIMENTARIA</t>
  </si>
  <si>
    <t>RETRASO MENTAL</t>
  </si>
  <si>
    <t>TRASTORNO DE PERSONALIDAD</t>
  </si>
  <si>
    <t>TRASTORNO GENERALIZADOS DEL DESARROLLO</t>
  </si>
  <si>
    <t>AUTISMO</t>
  </si>
  <si>
    <t>ASPERGER</t>
  </si>
  <si>
    <t>SÍNDROME DE RETT</t>
  </si>
  <si>
    <t>TRASTORNO DESINTEGRATIVO DE LA INFANCIA</t>
  </si>
  <si>
    <t>TRASTONO GENERALIZADO DEL DESARROLLO NO ESPECÍFICO</t>
  </si>
  <si>
    <t>EPILEPSIA</t>
  </si>
  <si>
    <t xml:space="preserve">OTRAS 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</si>
  <si>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</si>
  <si>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</si>
  <si>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</si>
  <si>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</si>
  <si>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</si>
  <si>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</si>
  <si>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</si>
  <si>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</si>
  <si>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</si>
  <si>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</si>
  <si>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</si>
  <si>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</si>
  <si>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</si>
  <si>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</si>
  <si>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</si>
  <si>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>Columna16</t>
  </si>
  <si>
    <t>Columna17</t>
  </si>
  <si>
    <t>Columna18</t>
  </si>
  <si>
    <t>Columna19</t>
  </si>
  <si>
    <t>Columna20</t>
  </si>
  <si>
    <t>Columna21</t>
  </si>
  <si>
    <t>Columna22</t>
  </si>
  <si>
    <t>Columna23</t>
  </si>
  <si>
    <t>Columna24</t>
  </si>
  <si>
    <t>Columna25</t>
  </si>
  <si>
    <t>Columna26</t>
  </si>
  <si>
    <t>Columna27</t>
  </si>
  <si>
    <t>Columna28</t>
  </si>
  <si>
    <t>Columna29</t>
  </si>
  <si>
    <t>Columna30</t>
  </si>
  <si>
    <t>Columna31</t>
  </si>
  <si>
    <t>Columna32</t>
  </si>
  <si>
    <t>Columna33</t>
  </si>
  <si>
    <t>Columna34</t>
  </si>
  <si>
    <t>Columna35</t>
  </si>
  <si>
    <t>Columna36</t>
  </si>
  <si>
    <t>Columna37</t>
  </si>
  <si>
    <t>Columna38</t>
  </si>
  <si>
    <t>NEGATIVO HAY QUE EGRESAR, POSITIVO HAY QUE INGRESAR</t>
  </si>
  <si>
    <t>Hombres2</t>
  </si>
  <si>
    <t>Mujeres3</t>
  </si>
  <si>
    <t>Hombres4</t>
  </si>
  <si>
    <t>Mujeres5</t>
  </si>
  <si>
    <t>Hombres6</t>
  </si>
  <si>
    <t>Mujeres7</t>
  </si>
  <si>
    <t>Hombres8</t>
  </si>
  <si>
    <t>Mujeres9</t>
  </si>
  <si>
    <t>Hombres10</t>
  </si>
  <si>
    <t>Mujeres11</t>
  </si>
  <si>
    <t>Hombres12</t>
  </si>
  <si>
    <t>Mujeres13</t>
  </si>
  <si>
    <t>Hombres14</t>
  </si>
  <si>
    <t>Mujeres15</t>
  </si>
  <si>
    <t>Hombres16</t>
  </si>
  <si>
    <t>Mujeres17</t>
  </si>
  <si>
    <t>Hombres18</t>
  </si>
  <si>
    <t>Mujeres19</t>
  </si>
  <si>
    <t>Hombres20</t>
  </si>
  <si>
    <t>Mujeres21</t>
  </si>
  <si>
    <t>Hombres22</t>
  </si>
  <si>
    <t>Mujeres23</t>
  </si>
  <si>
    <t>Hombres24</t>
  </si>
  <si>
    <t>Mujeres25</t>
  </si>
  <si>
    <t>Hombres26</t>
  </si>
  <si>
    <t>Mujeres27</t>
  </si>
  <si>
    <t>Mujeres28</t>
  </si>
  <si>
    <t>Hombres 29</t>
  </si>
  <si>
    <t>Mujeres30</t>
  </si>
  <si>
    <t>Hombres 31</t>
  </si>
  <si>
    <t>Mujeres32</t>
  </si>
  <si>
    <t>Hombres33</t>
  </si>
  <si>
    <t>Mujeres34</t>
  </si>
  <si>
    <t/>
  </si>
  <si>
    <t>MOTIVO DE EGRESO</t>
  </si>
  <si>
    <t>TOTAL</t>
  </si>
  <si>
    <t>0 - 4 años</t>
  </si>
  <si>
    <t>5 - 9 años</t>
  </si>
  <si>
    <t>10 - 14 años</t>
  </si>
  <si>
    <t>15 - 19 años</t>
  </si>
  <si>
    <t>20 - 24 años</t>
  </si>
  <si>
    <t>25 - 29 años</t>
  </si>
  <si>
    <t>30 - 34 años</t>
  </si>
  <si>
    <t>35 - 39 años</t>
  </si>
  <si>
    <t>40 - 44 años</t>
  </si>
  <si>
    <t>45 - 49 años</t>
  </si>
  <si>
    <t>50 - 54 años</t>
  </si>
  <si>
    <t>55 - 59 años</t>
  </si>
  <si>
    <t>60 - 64 años</t>
  </si>
  <si>
    <t>65 - 69 años</t>
  </si>
  <si>
    <t>70 - 74 años</t>
  </si>
  <si>
    <t>75 - 79 años</t>
  </si>
  <si>
    <t>EGRESOS</t>
  </si>
  <si>
    <t xml:space="preserve">Madre de hijo menor de 5 años </t>
  </si>
  <si>
    <t>Niños, Niñas, Adolescentes y Jóvenes  SENAME</t>
  </si>
  <si>
    <t>Migrantes</t>
  </si>
  <si>
    <t>TRANS Masculino/
Femenino</t>
  </si>
  <si>
    <t>Ambos Sexos</t>
  </si>
  <si>
    <t>Abandono</t>
  </si>
  <si>
    <t>Fallecimiento</t>
  </si>
  <si>
    <t>Traslado o Derivación</t>
  </si>
  <si>
    <t>EGRESOS DEL PROGRAMA</t>
  </si>
  <si>
    <t>ACCESORIAS</t>
  </si>
  <si>
    <t>Niños, Niñas, Adolescentes y Jóvenes  Mejor Niñez</t>
  </si>
  <si>
    <t>TRANS</t>
  </si>
  <si>
    <t>TRANS Femenino/
Masculino</t>
  </si>
  <si>
    <t>Femenino</t>
  </si>
  <si>
    <t>BLANKSPACE PORQUE FORMATO</t>
  </si>
  <si>
    <t>VIOLENCIA FISICA</t>
  </si>
  <si>
    <t>VIOLENCIA SEXUAL</t>
  </si>
  <si>
    <t>VIOLENCIA PSICOLOGICA</t>
  </si>
  <si>
    <t>altas clinicas demostrables por formulario</t>
  </si>
  <si>
    <t xml:space="preserve">fallecidos </t>
  </si>
  <si>
    <t>traslado</t>
  </si>
  <si>
    <t>esto es lo que no aparece en el A</t>
  </si>
  <si>
    <t>DIFERENCIA FORMATO ENTRE A Y P</t>
  </si>
  <si>
    <t>DIFERENCIA FORMATO A Y P</t>
  </si>
  <si>
    <t xml:space="preserve">SENAME/ Servicio Nacional de Reinserción social Juvenil </t>
  </si>
  <si>
    <t>Servicio Nacional Protección Especializada a la Niñez y Adolescencia</t>
  </si>
  <si>
    <t>Violencia Física</t>
  </si>
  <si>
    <t>Victima</t>
  </si>
  <si>
    <t>Agresor/a</t>
  </si>
  <si>
    <t>Violencia Sexual</t>
  </si>
  <si>
    <t>Violencia Psicológica</t>
  </si>
  <si>
    <t>Abuso sexual</t>
  </si>
  <si>
    <t>Suicidio</t>
  </si>
  <si>
    <t>Ideación</t>
  </si>
  <si>
    <t>Intento</t>
  </si>
  <si>
    <t xml:space="preserve">PERSONAS CON DIAGNÓSTICOS DE TRASTORNOS MENTALES </t>
  </si>
  <si>
    <t>Trastornos del Humor
(Afectivos)</t>
  </si>
  <si>
    <t>Depresión Leve</t>
  </si>
  <si>
    <t>Depresión Moderada</t>
  </si>
  <si>
    <t>Depresión Grave</t>
  </si>
  <si>
    <t>Depresión Post Parto</t>
  </si>
  <si>
    <t>Trastorno Bipolar</t>
  </si>
  <si>
    <t>Depresión Refractaria</t>
  </si>
  <si>
    <t>Depresión Grave con Psicosis</t>
  </si>
  <si>
    <t>Depresión con Alto Riesgo Suicida</t>
  </si>
  <si>
    <t>Trastornos Mentales y del Comportamiento Debido a Consumo Sustancias Psicotrópicas</t>
  </si>
  <si>
    <t>Consumo Perjudicial de Alcohol</t>
  </si>
  <si>
    <t>Consumo Dependiente del Alcohol</t>
  </si>
  <si>
    <t>Consumo Perjudicial de Drogas</t>
  </si>
  <si>
    <t>Consumo Dependiente de Drogas</t>
  </si>
  <si>
    <t>Consumo de Drogas y Alcohol</t>
  </si>
  <si>
    <t>Trastornos del Comportamiento y de las Emociones de Comienzo Habitual en la Infancia y Adolescencia</t>
  </si>
  <si>
    <t>Trastorno Hipercinéticos</t>
  </si>
  <si>
    <t>Trastorno Disocial Desafiante y Oposicionista</t>
  </si>
  <si>
    <t>Trastorno de Ansiedad de Separación en la Infancia</t>
  </si>
  <si>
    <t>Otros Trastornos del Comportamiento y de las Emociones de Comienzo Habitual en La Infancia y Adolescencia</t>
  </si>
  <si>
    <t xml:space="preserve">
Trastornos de Ansiedad</t>
  </si>
  <si>
    <t>Trastorno de Estrés Post Traumático</t>
  </si>
  <si>
    <t xml:space="preserve">Trastorno de Pánico  </t>
  </si>
  <si>
    <t>Fobias Sociales</t>
  </si>
  <si>
    <t>Trastornos de Ansiedad Generalizada</t>
  </si>
  <si>
    <t>Otros Trastornos de Ansiedad</t>
  </si>
  <si>
    <t xml:space="preserve">
Demencias (Incluye Alzheimer)</t>
  </si>
  <si>
    <t>Leve</t>
  </si>
  <si>
    <t>Moderado</t>
  </si>
  <si>
    <t>Avanzado</t>
  </si>
  <si>
    <t>Esquizofrenia</t>
  </si>
  <si>
    <t>Trastorno Adaptativo</t>
  </si>
  <si>
    <t>Trastornos de la Conducta Alimentaria</t>
  </si>
  <si>
    <t>Retraso Mental</t>
  </si>
  <si>
    <t>Trastorno de Personalidad</t>
  </si>
  <si>
    <t>Trastorno Generalizados del Desarrollo</t>
  </si>
  <si>
    <t>Autismo</t>
  </si>
  <si>
    <t>Asperger</t>
  </si>
  <si>
    <t>Síndrome de Rett</t>
  </si>
  <si>
    <t>Trastorno Desintegrativo de la Infancia</t>
  </si>
  <si>
    <t>Trastorno Generalizado del Desarrollo no Específico</t>
  </si>
  <si>
    <t>Epilepsia</t>
  </si>
  <si>
    <t>Otras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</si>
</sst>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Verdana"/>
      <family val="2"/>
    </font>
    <font>
      <sz val="8"/>
      <name val="Arial"/>
      <family val="2"/>
    </font>
    <font>
      <b/>
      <sz val="8"/>
      <name val="Verdana"/>
      <family val="2"/>
    </font>
    <font>
      <b/>
      <sz val="10"/>
      <name val="Verdana"/>
      <family val="2"/>
    </font>
    <font>
      <sz val="8"/>
      <color theme="1"/>
      <name val="Verdana"/>
      <family val="2"/>
    </font>
    <font>
      <b/>
      <sz val="9"/>
      <color theme="1"/>
      <name val="Verdana"/>
      <family val="2"/>
    </font>
    <font>
      <sz val="11"/>
      <color rgb="FFFF0000"/>
      <name val="Aptos Narrow"/>
      <family val="2"/>
      <scheme val="minor"/>
    </font>
    <font>
      <sz val="16"/>
      <name val="Verdana"/>
      <family val="2"/>
    </font>
    <font>
      <sz val="9"/>
      <color theme="1"/>
      <name val="Verdana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AEAF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</fills>
  <borders count="1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hair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auto="1"/>
      </bottom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double">
        <color auto="1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/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/>
      <right style="double">
        <color indexed="64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/>
      <bottom/>
      <diagonal/>
    </border>
    <border>
      <left/>
      <right style="double">
        <color auto="1"/>
      </right>
      <top/>
      <bottom/>
      <diagonal/>
    </border>
    <border>
      <left/>
      <right style="double">
        <color indexed="64"/>
      </right>
      <top style="thin">
        <color auto="1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3" fillId="0" borderId="0"/>
    <xf numFmtId="0" fontId="3" fillId="0" borderId="0"/>
  </cellStyleXfs>
  <cellXfs count="714">
    <xf numFmtId="0" fontId="0" fillId="0" borderId="0" xfId="0"/>
    <xf numFmtId="1" fontId="2" fillId="0" borderId="3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 wrapText="1"/>
    </xf>
    <xf numFmtId="1" fontId="2" fillId="0" borderId="10" xfId="0" applyNumberFormat="1" applyFont="1" applyBorder="1" applyAlignment="1">
      <alignment horizontal="center" vertical="center" wrapText="1"/>
    </xf>
    <xf numFmtId="1" fontId="2" fillId="0" borderId="4" xfId="1" applyNumberFormat="1" applyFont="1" applyBorder="1" applyAlignment="1">
      <alignment horizontal="center" vertical="center" wrapText="1"/>
    </xf>
    <xf numFmtId="1" fontId="2" fillId="0" borderId="10" xfId="1" applyNumberFormat="1" applyFont="1" applyBorder="1" applyAlignment="1">
      <alignment horizontal="center" vertical="center" wrapText="1"/>
    </xf>
    <xf numFmtId="1" fontId="2" fillId="0" borderId="4" xfId="2" applyNumberFormat="1" applyFont="1" applyBorder="1" applyAlignment="1" applyProtection="1">
      <alignment horizontal="center" vertical="center"/>
      <protection hidden="1"/>
    </xf>
    <xf numFmtId="1" fontId="2" fillId="0" borderId="11" xfId="2" applyNumberFormat="1" applyFont="1" applyBorder="1" applyAlignment="1" applyProtection="1">
      <alignment horizontal="center" vertical="center"/>
      <protection hidden="1"/>
    </xf>
    <xf numFmtId="1" fontId="2" fillId="2" borderId="12" xfId="0" applyNumberFormat="1" applyFont="1" applyFill="1" applyBorder="1" applyAlignment="1">
      <alignment horizontal="center" vertical="center" wrapText="1"/>
    </xf>
    <xf numFmtId="1" fontId="2" fillId="2" borderId="13" xfId="0" applyNumberFormat="1" applyFont="1" applyFill="1" applyBorder="1" applyAlignment="1">
      <alignment horizontal="center" vertical="center" wrapText="1"/>
    </xf>
    <xf numFmtId="1" fontId="2" fillId="0" borderId="14" xfId="0" applyNumberFormat="1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 wrapText="1"/>
    </xf>
    <xf numFmtId="1" fontId="2" fillId="2" borderId="9" xfId="0" applyNumberFormat="1" applyFont="1" applyFill="1" applyBorder="1" applyAlignment="1">
      <alignment horizontal="center" vertical="center" wrapText="1"/>
    </xf>
    <xf numFmtId="1" fontId="2" fillId="2" borderId="16" xfId="0" applyNumberFormat="1" applyFont="1" applyFill="1" applyBorder="1" applyAlignment="1">
      <alignment horizontal="center" vertical="center" wrapText="1"/>
    </xf>
    <xf numFmtId="1" fontId="2" fillId="2" borderId="15" xfId="0" applyNumberFormat="1" applyFont="1" applyFill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/>
    </xf>
    <xf numFmtId="1" fontId="2" fillId="0" borderId="17" xfId="3" applyNumberFormat="1" applyFont="1" applyBorder="1" applyAlignment="1" applyProtection="1">
      <alignment horizontal="center" vertical="center" wrapText="1"/>
      <protection hidden="1"/>
    </xf>
    <xf numFmtId="1" fontId="2" fillId="0" borderId="18" xfId="0" applyNumberFormat="1" applyFont="1" applyBorder="1" applyAlignment="1">
      <alignment horizontal="center" vertical="center"/>
    </xf>
    <xf numFmtId="1" fontId="2" fillId="0" borderId="19" xfId="0" applyNumberFormat="1" applyFont="1" applyBorder="1" applyAlignment="1">
      <alignment horizontal="center" vertical="center"/>
    </xf>
    <xf numFmtId="1" fontId="2" fillId="0" borderId="17" xfId="0" applyNumberFormat="1" applyFont="1" applyBorder="1" applyAlignment="1">
      <alignment horizontal="center" vertical="center"/>
    </xf>
    <xf numFmtId="1" fontId="2" fillId="0" borderId="17" xfId="1" applyNumberFormat="1" applyFont="1" applyBorder="1" applyAlignment="1">
      <alignment horizontal="center" vertical="center" wrapText="1"/>
    </xf>
    <xf numFmtId="1" fontId="2" fillId="0" borderId="19" xfId="1" applyNumberFormat="1" applyFont="1" applyBorder="1" applyAlignment="1">
      <alignment horizontal="center" vertical="center" wrapText="1"/>
    </xf>
    <xf numFmtId="1" fontId="2" fillId="0" borderId="17" xfId="2" applyNumberFormat="1" applyFont="1" applyBorder="1" applyAlignment="1" applyProtection="1">
      <alignment horizontal="center" vertical="center" wrapText="1"/>
      <protection hidden="1"/>
    </xf>
    <xf numFmtId="1" fontId="2" fillId="0" borderId="20" xfId="2" applyNumberFormat="1" applyFont="1" applyBorder="1" applyAlignment="1" applyProtection="1">
      <alignment horizontal="center" vertical="center" wrapText="1"/>
      <protection hidden="1"/>
    </xf>
    <xf numFmtId="1" fontId="2" fillId="2" borderId="21" xfId="0" applyNumberFormat="1" applyFont="1" applyFill="1" applyBorder="1" applyAlignment="1">
      <alignment horizontal="center" vertical="center" wrapText="1"/>
    </xf>
    <xf numFmtId="1" fontId="2" fillId="2" borderId="22" xfId="0" applyNumberFormat="1" applyFont="1" applyFill="1" applyBorder="1" applyAlignment="1">
      <alignment horizontal="center" vertical="center" wrapText="1"/>
    </xf>
    <xf numFmtId="1" fontId="2" fillId="0" borderId="18" xfId="3" applyNumberFormat="1" applyFont="1" applyBorder="1" applyAlignment="1">
      <alignment horizontal="right"/>
    </xf>
    <xf numFmtId="1" fontId="2" fillId="0" borderId="20" xfId="3" applyNumberFormat="1" applyFont="1" applyBorder="1" applyAlignment="1">
      <alignment horizontal="right"/>
    </xf>
    <xf numFmtId="1" fontId="2" fillId="3" borderId="17" xfId="3" applyNumberFormat="1" applyFont="1" applyFill="1" applyBorder="1" applyAlignment="1" applyProtection="1">
      <alignment horizontal="right"/>
      <protection locked="0"/>
    </xf>
    <xf numFmtId="1" fontId="2" fillId="3" borderId="20" xfId="3" applyNumberFormat="1" applyFont="1" applyFill="1" applyBorder="1" applyAlignment="1" applyProtection="1">
      <alignment horizontal="right"/>
      <protection locked="0"/>
    </xf>
    <xf numFmtId="1" fontId="2" fillId="3" borderId="19" xfId="3" applyNumberFormat="1" applyFont="1" applyFill="1" applyBorder="1" applyAlignment="1" applyProtection="1">
      <alignment horizontal="right"/>
      <protection locked="0"/>
    </xf>
    <xf numFmtId="1" fontId="2" fillId="3" borderId="18" xfId="3" applyNumberFormat="1" applyFont="1" applyFill="1" applyBorder="1" applyAlignment="1" applyProtection="1">
      <alignment horizontal="right"/>
      <protection locked="0"/>
    </xf>
    <xf numFmtId="1" fontId="2" fillId="3" borderId="23" xfId="3" applyNumberFormat="1" applyFont="1" applyFill="1" applyBorder="1" applyAlignment="1" applyProtection="1">
      <alignment horizontal="right"/>
      <protection locked="0"/>
    </xf>
    <xf numFmtId="1" fontId="2" fillId="3" borderId="3" xfId="3" applyNumberFormat="1" applyFont="1" applyFill="1" applyBorder="1" applyAlignment="1" applyProtection="1">
      <alignment horizontal="right"/>
      <protection locked="0"/>
    </xf>
    <xf numFmtId="1" fontId="2" fillId="3" borderId="10" xfId="3" applyNumberFormat="1" applyFont="1" applyFill="1" applyBorder="1" applyAlignment="1" applyProtection="1">
      <alignment horizontal="right"/>
      <protection locked="0"/>
    </xf>
    <xf numFmtId="1" fontId="2" fillId="0" borderId="25" xfId="4" applyNumberFormat="1" applyFont="1" applyBorder="1" applyAlignment="1" applyProtection="1">
      <alignment vertical="center" wrapText="1"/>
      <protection hidden="1"/>
    </xf>
    <xf numFmtId="1" fontId="2" fillId="0" borderId="27" xfId="3" applyNumberFormat="1" applyFont="1" applyBorder="1" applyAlignment="1">
      <alignment horizontal="right"/>
    </xf>
    <xf numFmtId="1" fontId="2" fillId="0" borderId="28" xfId="3" applyNumberFormat="1" applyFont="1" applyBorder="1" applyAlignment="1">
      <alignment horizontal="right"/>
    </xf>
    <xf numFmtId="1" fontId="2" fillId="3" borderId="29" xfId="3" applyNumberFormat="1" applyFont="1" applyFill="1" applyBorder="1" applyAlignment="1" applyProtection="1">
      <alignment horizontal="right"/>
      <protection locked="0"/>
    </xf>
    <xf numFmtId="1" fontId="2" fillId="3" borderId="30" xfId="3" applyNumberFormat="1" applyFont="1" applyFill="1" applyBorder="1" applyAlignment="1" applyProtection="1">
      <alignment horizontal="right"/>
      <protection locked="0"/>
    </xf>
    <xf numFmtId="1" fontId="2" fillId="3" borderId="31" xfId="3" applyNumberFormat="1" applyFont="1" applyFill="1" applyBorder="1" applyAlignment="1" applyProtection="1">
      <alignment horizontal="right"/>
      <protection locked="0"/>
    </xf>
    <xf numFmtId="1" fontId="2" fillId="3" borderId="32" xfId="3" applyNumberFormat="1" applyFont="1" applyFill="1" applyBorder="1" applyAlignment="1" applyProtection="1">
      <alignment horizontal="right"/>
      <protection locked="0"/>
    </xf>
    <xf numFmtId="1" fontId="2" fillId="3" borderId="25" xfId="3" applyNumberFormat="1" applyFont="1" applyFill="1" applyBorder="1" applyAlignment="1" applyProtection="1">
      <alignment horizontal="right"/>
      <protection locked="0"/>
    </xf>
    <xf numFmtId="1" fontId="2" fillId="3" borderId="33" xfId="3" applyNumberFormat="1" applyFont="1" applyFill="1" applyBorder="1" applyAlignment="1" applyProtection="1">
      <alignment horizontal="right"/>
      <protection locked="0"/>
    </xf>
    <xf numFmtId="1" fontId="2" fillId="3" borderId="34" xfId="3" applyNumberFormat="1" applyFont="1" applyFill="1" applyBorder="1" applyAlignment="1" applyProtection="1">
      <alignment horizontal="right"/>
      <protection locked="0"/>
    </xf>
    <xf numFmtId="1" fontId="2" fillId="0" borderId="36" xfId="4" applyNumberFormat="1" applyFont="1" applyBorder="1" applyAlignment="1" applyProtection="1">
      <alignment vertical="center" wrapText="1"/>
      <protection hidden="1"/>
    </xf>
    <xf numFmtId="1" fontId="2" fillId="0" borderId="38" xfId="3" applyNumberFormat="1" applyFont="1" applyBorder="1" applyAlignment="1">
      <alignment horizontal="right"/>
    </xf>
    <xf numFmtId="1" fontId="2" fillId="0" borderId="39" xfId="3" applyNumberFormat="1" applyFont="1" applyBorder="1" applyAlignment="1">
      <alignment horizontal="right"/>
    </xf>
    <xf numFmtId="1" fontId="2" fillId="3" borderId="37" xfId="3" applyNumberFormat="1" applyFont="1" applyFill="1" applyBorder="1" applyAlignment="1" applyProtection="1">
      <alignment horizontal="right"/>
      <protection locked="0"/>
    </xf>
    <xf numFmtId="1" fontId="2" fillId="3" borderId="40" xfId="3" applyNumberFormat="1" applyFont="1" applyFill="1" applyBorder="1" applyAlignment="1" applyProtection="1">
      <alignment horizontal="right"/>
      <protection locked="0"/>
    </xf>
    <xf numFmtId="1" fontId="2" fillId="3" borderId="41" xfId="3" applyNumberFormat="1" applyFont="1" applyFill="1" applyBorder="1" applyAlignment="1" applyProtection="1">
      <alignment horizontal="right"/>
      <protection locked="0"/>
    </xf>
    <xf numFmtId="1" fontId="2" fillId="3" borderId="42" xfId="3" applyNumberFormat="1" applyFont="1" applyFill="1" applyBorder="1" applyAlignment="1" applyProtection="1">
      <alignment horizontal="right"/>
      <protection locked="0"/>
    </xf>
    <xf numFmtId="1" fontId="2" fillId="3" borderId="36" xfId="3" applyNumberFormat="1" applyFont="1" applyFill="1" applyBorder="1" applyAlignment="1" applyProtection="1">
      <alignment horizontal="right"/>
      <protection locked="0"/>
    </xf>
    <xf numFmtId="1" fontId="2" fillId="3" borderId="38" xfId="3" applyNumberFormat="1" applyFont="1" applyFill="1" applyBorder="1" applyAlignment="1" applyProtection="1">
      <alignment horizontal="right"/>
      <protection locked="0"/>
    </xf>
    <xf numFmtId="1" fontId="2" fillId="3" borderId="43" xfId="3" applyNumberFormat="1" applyFont="1" applyFill="1" applyBorder="1" applyAlignment="1" applyProtection="1">
      <alignment horizontal="right"/>
      <protection locked="0"/>
    </xf>
    <xf numFmtId="1" fontId="2" fillId="0" borderId="45" xfId="3" applyNumberFormat="1" applyFont="1" applyBorder="1" applyAlignment="1">
      <alignment horizontal="right"/>
    </xf>
    <xf numFmtId="1" fontId="2" fillId="0" borderId="46" xfId="3" applyNumberFormat="1" applyFont="1" applyBorder="1" applyAlignment="1">
      <alignment horizontal="right"/>
    </xf>
    <xf numFmtId="1" fontId="2" fillId="3" borderId="44" xfId="3" applyNumberFormat="1" applyFont="1" applyFill="1" applyBorder="1" applyAlignment="1" applyProtection="1">
      <alignment horizontal="right"/>
      <protection locked="0"/>
    </xf>
    <xf numFmtId="1" fontId="2" fillId="3" borderId="47" xfId="3" applyNumberFormat="1" applyFont="1" applyFill="1" applyBorder="1" applyAlignment="1" applyProtection="1">
      <alignment horizontal="right"/>
      <protection locked="0"/>
    </xf>
    <xf numFmtId="1" fontId="2" fillId="3" borderId="48" xfId="3" applyNumberFormat="1" applyFont="1" applyFill="1" applyBorder="1" applyAlignment="1" applyProtection="1">
      <alignment horizontal="right"/>
      <protection locked="0"/>
    </xf>
    <xf numFmtId="1" fontId="2" fillId="3" borderId="21" xfId="3" applyNumberFormat="1" applyFont="1" applyFill="1" applyBorder="1" applyAlignment="1" applyProtection="1">
      <alignment horizontal="right"/>
      <protection locked="0"/>
    </xf>
    <xf numFmtId="1" fontId="2" fillId="3" borderId="22" xfId="3" applyNumberFormat="1" applyFont="1" applyFill="1" applyBorder="1" applyAlignment="1" applyProtection="1">
      <alignment horizontal="right"/>
      <protection locked="0"/>
    </xf>
    <xf numFmtId="1" fontId="2" fillId="3" borderId="45" xfId="3" applyNumberFormat="1" applyFont="1" applyFill="1" applyBorder="1" applyAlignment="1" applyProtection="1">
      <alignment horizontal="right"/>
      <protection locked="0"/>
    </xf>
    <xf numFmtId="1" fontId="2" fillId="3" borderId="15" xfId="3" applyNumberFormat="1" applyFont="1" applyFill="1" applyBorder="1" applyAlignment="1" applyProtection="1">
      <alignment horizontal="right"/>
      <protection locked="0"/>
    </xf>
    <xf numFmtId="1" fontId="2" fillId="0" borderId="34" xfId="0" applyNumberFormat="1" applyFont="1" applyBorder="1" applyAlignment="1">
      <alignment horizontal="left" vertical="center" wrapText="1"/>
    </xf>
    <xf numFmtId="1" fontId="2" fillId="0" borderId="49" xfId="3" applyNumberFormat="1" applyFont="1" applyBorder="1" applyAlignment="1">
      <alignment horizontal="right"/>
    </xf>
    <xf numFmtId="1" fontId="2" fillId="4" borderId="30" xfId="3" applyNumberFormat="1" applyFont="1" applyFill="1" applyBorder="1" applyAlignment="1">
      <alignment horizontal="right"/>
    </xf>
    <xf numFmtId="1" fontId="2" fillId="0" borderId="43" xfId="0" applyNumberFormat="1" applyFont="1" applyBorder="1" applyAlignment="1">
      <alignment horizontal="left" vertical="center" wrapText="1"/>
    </xf>
    <xf numFmtId="1" fontId="2" fillId="4" borderId="44" xfId="3" applyNumberFormat="1" applyFont="1" applyFill="1" applyBorder="1" applyAlignment="1">
      <alignment horizontal="right"/>
    </xf>
    <xf numFmtId="1" fontId="2" fillId="4" borderId="47" xfId="3" applyNumberFormat="1" applyFont="1" applyFill="1" applyBorder="1" applyAlignment="1">
      <alignment horizontal="right"/>
    </xf>
    <xf numFmtId="1" fontId="2" fillId="3" borderId="50" xfId="3" applyNumberFormat="1" applyFont="1" applyFill="1" applyBorder="1" applyAlignment="1" applyProtection="1">
      <alignment horizontal="right"/>
      <protection locked="0"/>
    </xf>
    <xf numFmtId="1" fontId="2" fillId="3" borderId="26" xfId="3" applyNumberFormat="1" applyFont="1" applyFill="1" applyBorder="1" applyAlignment="1" applyProtection="1">
      <alignment horizontal="right"/>
      <protection locked="0"/>
    </xf>
    <xf numFmtId="1" fontId="2" fillId="3" borderId="51" xfId="3" applyNumberFormat="1" applyFont="1" applyFill="1" applyBorder="1" applyAlignment="1" applyProtection="1">
      <alignment horizontal="right"/>
      <protection locked="0"/>
    </xf>
    <xf numFmtId="1" fontId="2" fillId="3" borderId="52" xfId="3" applyNumberFormat="1" applyFont="1" applyFill="1" applyBorder="1" applyAlignment="1" applyProtection="1">
      <alignment horizontal="right"/>
      <protection locked="0"/>
    </xf>
    <xf numFmtId="1" fontId="2" fillId="3" borderId="53" xfId="3" applyNumberFormat="1" applyFont="1" applyFill="1" applyBorder="1" applyAlignment="1" applyProtection="1">
      <alignment horizontal="right"/>
      <protection locked="0"/>
    </xf>
    <xf numFmtId="1" fontId="2" fillId="3" borderId="54" xfId="3" applyNumberFormat="1" applyFont="1" applyFill="1" applyBorder="1" applyAlignment="1" applyProtection="1">
      <alignment horizontal="right"/>
      <protection locked="0"/>
    </xf>
    <xf numFmtId="1" fontId="2" fillId="3" borderId="27" xfId="3" applyNumberFormat="1" applyFont="1" applyFill="1" applyBorder="1" applyAlignment="1" applyProtection="1">
      <alignment horizontal="right"/>
      <protection locked="0"/>
    </xf>
    <xf numFmtId="1" fontId="2" fillId="3" borderId="55" xfId="3" applyNumberFormat="1" applyFont="1" applyFill="1" applyBorder="1" applyAlignment="1" applyProtection="1">
      <alignment horizontal="right"/>
      <protection locked="0"/>
    </xf>
    <xf numFmtId="1" fontId="2" fillId="0" borderId="54" xfId="4" applyNumberFormat="1" applyFont="1" applyBorder="1" applyAlignment="1" applyProtection="1">
      <alignment vertical="center" wrapText="1"/>
      <protection hidden="1"/>
    </xf>
    <xf numFmtId="1" fontId="2" fillId="3" borderId="56" xfId="3" applyNumberFormat="1" applyFont="1" applyFill="1" applyBorder="1" applyAlignment="1" applyProtection="1">
      <alignment horizontal="right"/>
      <protection locked="0"/>
    </xf>
    <xf numFmtId="1" fontId="2" fillId="3" borderId="57" xfId="3" applyNumberFormat="1" applyFont="1" applyFill="1" applyBorder="1" applyAlignment="1" applyProtection="1">
      <alignment horizontal="right"/>
      <protection locked="0"/>
    </xf>
    <xf numFmtId="1" fontId="2" fillId="3" borderId="58" xfId="3" applyNumberFormat="1" applyFont="1" applyFill="1" applyBorder="1" applyAlignment="1" applyProtection="1">
      <alignment horizontal="right"/>
      <protection locked="0"/>
    </xf>
    <xf numFmtId="1" fontId="2" fillId="3" borderId="59" xfId="3" applyNumberFormat="1" applyFont="1" applyFill="1" applyBorder="1" applyAlignment="1" applyProtection="1">
      <alignment horizontal="right"/>
      <protection locked="0"/>
    </xf>
    <xf numFmtId="1" fontId="2" fillId="3" borderId="60" xfId="3" applyNumberFormat="1" applyFont="1" applyFill="1" applyBorder="1" applyAlignment="1" applyProtection="1">
      <alignment horizontal="right"/>
      <protection locked="0"/>
    </xf>
    <xf numFmtId="1" fontId="2" fillId="3" borderId="61" xfId="3" applyNumberFormat="1" applyFont="1" applyFill="1" applyBorder="1" applyAlignment="1" applyProtection="1">
      <alignment horizontal="right"/>
      <protection locked="0"/>
    </xf>
    <xf numFmtId="1" fontId="2" fillId="3" borderId="62" xfId="3" applyNumberFormat="1" applyFont="1" applyFill="1" applyBorder="1" applyAlignment="1" applyProtection="1">
      <alignment horizontal="right"/>
      <protection locked="0"/>
    </xf>
    <xf numFmtId="1" fontId="2" fillId="0" borderId="60" xfId="4" applyNumberFormat="1" applyFont="1" applyBorder="1" applyAlignment="1" applyProtection="1">
      <alignment vertical="center" wrapText="1"/>
      <protection hidden="1"/>
    </xf>
    <xf numFmtId="1" fontId="2" fillId="4" borderId="61" xfId="3" applyNumberFormat="1" applyFont="1" applyFill="1" applyBorder="1" applyAlignment="1">
      <alignment horizontal="right"/>
    </xf>
    <xf numFmtId="1" fontId="2" fillId="0" borderId="63" xfId="3" applyNumberFormat="1" applyFont="1" applyBorder="1" applyAlignment="1">
      <alignment horizontal="right"/>
    </xf>
    <xf numFmtId="1" fontId="2" fillId="4" borderId="56" xfId="3" applyNumberFormat="1" applyFont="1" applyFill="1" applyBorder="1" applyAlignment="1">
      <alignment horizontal="right"/>
    </xf>
    <xf numFmtId="1" fontId="2" fillId="4" borderId="57" xfId="3" applyNumberFormat="1" applyFont="1" applyFill="1" applyBorder="1" applyAlignment="1">
      <alignment horizontal="right"/>
    </xf>
    <xf numFmtId="1" fontId="2" fillId="4" borderId="58" xfId="3" applyNumberFormat="1" applyFont="1" applyFill="1" applyBorder="1" applyAlignment="1">
      <alignment horizontal="right"/>
    </xf>
    <xf numFmtId="1" fontId="2" fillId="4" borderId="59" xfId="3" applyNumberFormat="1" applyFont="1" applyFill="1" applyBorder="1" applyAlignment="1">
      <alignment horizontal="right"/>
    </xf>
    <xf numFmtId="1" fontId="2" fillId="4" borderId="62" xfId="3" applyNumberFormat="1" applyFont="1" applyFill="1" applyBorder="1" applyAlignment="1">
      <alignment horizontal="right"/>
    </xf>
    <xf numFmtId="1" fontId="2" fillId="0" borderId="65" xfId="3" applyNumberFormat="1" applyFont="1" applyBorder="1" applyAlignment="1">
      <alignment horizontal="right"/>
    </xf>
    <xf numFmtId="1" fontId="2" fillId="0" borderId="66" xfId="3" applyNumberFormat="1" applyFont="1" applyBorder="1" applyAlignment="1">
      <alignment horizontal="right"/>
    </xf>
    <xf numFmtId="1" fontId="2" fillId="3" borderId="64" xfId="3" applyNumberFormat="1" applyFont="1" applyFill="1" applyBorder="1" applyAlignment="1" applyProtection="1">
      <alignment horizontal="right"/>
      <protection locked="0"/>
    </xf>
    <xf numFmtId="1" fontId="2" fillId="3" borderId="67" xfId="3" applyNumberFormat="1" applyFont="1" applyFill="1" applyBorder="1" applyAlignment="1" applyProtection="1">
      <alignment horizontal="right"/>
      <protection locked="0"/>
    </xf>
    <xf numFmtId="1" fontId="2" fillId="3" borderId="68" xfId="3" applyNumberFormat="1" applyFont="1" applyFill="1" applyBorder="1" applyAlignment="1" applyProtection="1">
      <alignment horizontal="right"/>
      <protection locked="0"/>
    </xf>
    <xf numFmtId="1" fontId="2" fillId="3" borderId="69" xfId="3" applyNumberFormat="1" applyFont="1" applyFill="1" applyBorder="1" applyAlignment="1" applyProtection="1">
      <alignment horizontal="right"/>
      <protection locked="0"/>
    </xf>
    <xf numFmtId="1" fontId="2" fillId="3" borderId="70" xfId="3" applyNumberFormat="1" applyFont="1" applyFill="1" applyBorder="1" applyAlignment="1" applyProtection="1">
      <alignment horizontal="right"/>
      <protection locked="0"/>
    </xf>
    <xf numFmtId="1" fontId="2" fillId="3" borderId="65" xfId="3" applyNumberFormat="1" applyFont="1" applyFill="1" applyBorder="1" applyAlignment="1" applyProtection="1">
      <alignment horizontal="right"/>
      <protection locked="0"/>
    </xf>
    <xf numFmtId="1" fontId="2" fillId="3" borderId="71" xfId="3" applyNumberFormat="1" applyFont="1" applyFill="1" applyBorder="1" applyAlignment="1" applyProtection="1">
      <alignment horizontal="right"/>
      <protection locked="0"/>
    </xf>
    <xf numFmtId="1" fontId="2" fillId="0" borderId="72" xfId="0" applyNumberFormat="1" applyFont="1" applyBorder="1" applyAlignment="1">
      <alignment wrapText="1"/>
    </xf>
    <xf numFmtId="1" fontId="2" fillId="0" borderId="33" xfId="3" applyNumberFormat="1" applyFont="1" applyBorder="1" applyAlignment="1">
      <alignment horizontal="right"/>
    </xf>
    <xf numFmtId="1" fontId="2" fillId="0" borderId="62" xfId="0" applyNumberFormat="1" applyFont="1" applyBorder="1" applyAlignment="1">
      <alignment wrapText="1"/>
    </xf>
    <xf numFmtId="1" fontId="2" fillId="0" borderId="61" xfId="3" applyNumberFormat="1" applyFont="1" applyBorder="1" applyAlignment="1">
      <alignment horizontal="right"/>
    </xf>
    <xf numFmtId="1" fontId="2" fillId="0" borderId="71" xfId="0" applyNumberFormat="1" applyFont="1" applyBorder="1" applyAlignment="1">
      <alignment wrapText="1"/>
    </xf>
    <xf numFmtId="1" fontId="2" fillId="0" borderId="43" xfId="0" applyNumberFormat="1" applyFont="1" applyBorder="1" applyAlignment="1">
      <alignment wrapText="1"/>
    </xf>
    <xf numFmtId="1" fontId="2" fillId="0" borderId="25" xfId="0" applyNumberFormat="1" applyFont="1" applyBorder="1" applyAlignment="1">
      <alignment vertical="center" wrapText="1"/>
    </xf>
    <xf numFmtId="1" fontId="2" fillId="4" borderId="25" xfId="0" applyNumberFormat="1" applyFont="1" applyFill="1" applyBorder="1" applyAlignment="1">
      <alignment horizontal="right"/>
    </xf>
    <xf numFmtId="1" fontId="2" fillId="0" borderId="60" xfId="0" applyNumberFormat="1" applyFont="1" applyBorder="1" applyAlignment="1">
      <alignment vertical="center" wrapText="1"/>
    </xf>
    <xf numFmtId="1" fontId="2" fillId="4" borderId="60" xfId="0" applyNumberFormat="1" applyFont="1" applyFill="1" applyBorder="1" applyAlignment="1">
      <alignment horizontal="right"/>
    </xf>
    <xf numFmtId="1" fontId="2" fillId="0" borderId="36" xfId="0" applyNumberFormat="1" applyFont="1" applyBorder="1" applyAlignment="1">
      <alignment vertical="center" wrapText="1"/>
    </xf>
    <xf numFmtId="1" fontId="2" fillId="4" borderId="37" xfId="3" applyNumberFormat="1" applyFont="1" applyFill="1" applyBorder="1" applyAlignment="1">
      <alignment horizontal="right"/>
    </xf>
    <xf numFmtId="1" fontId="2" fillId="4" borderId="40" xfId="3" applyNumberFormat="1" applyFont="1" applyFill="1" applyBorder="1" applyAlignment="1">
      <alignment horizontal="right"/>
    </xf>
    <xf numFmtId="1" fontId="2" fillId="4" borderId="41" xfId="3" applyNumberFormat="1" applyFont="1" applyFill="1" applyBorder="1" applyAlignment="1">
      <alignment horizontal="right"/>
    </xf>
    <xf numFmtId="1" fontId="2" fillId="4" borderId="36" xfId="0" applyNumberFormat="1" applyFont="1" applyFill="1" applyBorder="1" applyAlignment="1">
      <alignment horizontal="right"/>
    </xf>
    <xf numFmtId="1" fontId="2" fillId="0" borderId="55" xfId="0" applyNumberFormat="1" applyFont="1" applyBorder="1" applyAlignment="1">
      <alignment wrapText="1"/>
    </xf>
    <xf numFmtId="1" fontId="2" fillId="0" borderId="73" xfId="0" applyNumberFormat="1" applyFont="1" applyBorder="1" applyAlignment="1">
      <alignment wrapText="1"/>
    </xf>
    <xf numFmtId="1" fontId="2" fillId="0" borderId="62" xfId="0" applyNumberFormat="1" applyFont="1" applyBorder="1" applyAlignment="1">
      <alignment vertical="center" wrapText="1"/>
    </xf>
    <xf numFmtId="1" fontId="2" fillId="0" borderId="9" xfId="0" applyNumberFormat="1" applyFont="1" applyBorder="1" applyAlignment="1">
      <alignment wrapText="1"/>
    </xf>
    <xf numFmtId="1" fontId="2" fillId="0" borderId="34" xfId="4" applyNumberFormat="1" applyFont="1" applyBorder="1" applyAlignment="1" applyProtection="1">
      <alignment vertical="center" wrapText="1"/>
      <protection hidden="1"/>
    </xf>
    <xf numFmtId="1" fontId="2" fillId="4" borderId="32" xfId="3" applyNumberFormat="1" applyFont="1" applyFill="1" applyBorder="1" applyAlignment="1">
      <alignment horizontal="right"/>
    </xf>
    <xf numFmtId="1" fontId="2" fillId="4" borderId="25" xfId="3" applyNumberFormat="1" applyFont="1" applyFill="1" applyBorder="1" applyAlignment="1">
      <alignment horizontal="right"/>
    </xf>
    <xf numFmtId="1" fontId="2" fillId="0" borderId="55" xfId="4" applyNumberFormat="1" applyFont="1" applyBorder="1" applyAlignment="1" applyProtection="1">
      <alignment vertical="center" wrapText="1"/>
      <protection hidden="1"/>
    </xf>
    <xf numFmtId="1" fontId="2" fillId="4" borderId="53" xfId="3" applyNumberFormat="1" applyFont="1" applyFill="1" applyBorder="1" applyAlignment="1">
      <alignment horizontal="right"/>
    </xf>
    <xf numFmtId="1" fontId="2" fillId="4" borderId="54" xfId="3" applyNumberFormat="1" applyFont="1" applyFill="1" applyBorder="1" applyAlignment="1">
      <alignment horizontal="right"/>
    </xf>
    <xf numFmtId="1" fontId="2" fillId="0" borderId="15" xfId="4" applyNumberFormat="1" applyFont="1" applyBorder="1" applyAlignment="1" applyProtection="1">
      <alignment vertical="center" wrapText="1"/>
      <protection hidden="1"/>
    </xf>
    <xf numFmtId="1" fontId="2" fillId="4" borderId="21" xfId="3" applyNumberFormat="1" applyFont="1" applyFill="1" applyBorder="1" applyAlignment="1">
      <alignment horizontal="right"/>
    </xf>
    <xf numFmtId="1" fontId="2" fillId="4" borderId="22" xfId="3" applyNumberFormat="1" applyFont="1" applyFill="1" applyBorder="1" applyAlignment="1">
      <alignment horizontal="right"/>
    </xf>
    <xf numFmtId="1" fontId="2" fillId="0" borderId="54" xfId="0" applyNumberFormat="1" applyFont="1" applyBorder="1" applyAlignment="1">
      <alignment wrapText="1"/>
    </xf>
    <xf numFmtId="1" fontId="2" fillId="0" borderId="75" xfId="3" applyNumberFormat="1" applyFont="1" applyBorder="1" applyAlignment="1">
      <alignment horizontal="right"/>
    </xf>
    <xf numFmtId="1" fontId="2" fillId="0" borderId="76" xfId="3" applyNumberFormat="1" applyFont="1" applyBorder="1" applyAlignment="1">
      <alignment horizontal="right"/>
    </xf>
    <xf numFmtId="1" fontId="2" fillId="3" borderId="74" xfId="3" applyNumberFormat="1" applyFont="1" applyFill="1" applyBorder="1" applyAlignment="1" applyProtection="1">
      <alignment horizontal="right"/>
      <protection locked="0"/>
    </xf>
    <xf numFmtId="1" fontId="2" fillId="3" borderId="77" xfId="3" applyNumberFormat="1" applyFont="1" applyFill="1" applyBorder="1" applyAlignment="1" applyProtection="1">
      <alignment horizontal="right"/>
      <protection locked="0"/>
    </xf>
    <xf numFmtId="1" fontId="2" fillId="3" borderId="78" xfId="3" applyNumberFormat="1" applyFont="1" applyFill="1" applyBorder="1" applyAlignment="1" applyProtection="1">
      <alignment horizontal="right"/>
      <protection locked="0"/>
    </xf>
    <xf numFmtId="1" fontId="2" fillId="3" borderId="75" xfId="3" applyNumberFormat="1" applyFont="1" applyFill="1" applyBorder="1" applyAlignment="1" applyProtection="1">
      <alignment horizontal="right"/>
      <protection locked="0"/>
    </xf>
    <xf numFmtId="1" fontId="2" fillId="3" borderId="9" xfId="3" applyNumberFormat="1" applyFont="1" applyFill="1" applyBorder="1" applyAlignment="1" applyProtection="1">
      <alignment horizontal="right"/>
      <protection locked="0"/>
    </xf>
    <xf numFmtId="1" fontId="2" fillId="0" borderId="60" xfId="0" applyNumberFormat="1" applyFont="1" applyBorder="1" applyAlignment="1">
      <alignment wrapText="1"/>
    </xf>
    <xf numFmtId="1" fontId="2" fillId="0" borderId="36" xfId="0" applyNumberFormat="1" applyFont="1" applyBorder="1" applyAlignment="1">
      <alignment wrapText="1"/>
    </xf>
    <xf numFmtId="1" fontId="2" fillId="0" borderId="8" xfId="4" applyNumberFormat="1" applyFont="1" applyBorder="1" applyAlignment="1" applyProtection="1">
      <alignment horizontal="left" vertical="center" wrapText="1"/>
      <protection hidden="1"/>
    </xf>
    <xf numFmtId="1" fontId="2" fillId="0" borderId="9" xfId="4" applyNumberFormat="1" applyFont="1" applyBorder="1" applyAlignment="1" applyProtection="1">
      <alignment horizontal="left" vertical="center" wrapText="1"/>
      <protection hidden="1"/>
    </xf>
    <xf numFmtId="1" fontId="2" fillId="0" borderId="40" xfId="3" applyNumberFormat="1" applyFont="1" applyBorder="1" applyAlignment="1">
      <alignment horizontal="right"/>
    </xf>
    <xf numFmtId="1" fontId="0" fillId="0" borderId="0" xfId="0" applyNumberFormat="1"/>
    <xf numFmtId="1" fontId="2" fillId="0" borderId="22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 wrapText="1"/>
    </xf>
    <xf numFmtId="1" fontId="2" fillId="2" borderId="8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0" fillId="6" borderId="0" xfId="0" applyFill="1"/>
    <xf numFmtId="1" fontId="2" fillId="2" borderId="3" xfId="4" applyNumberFormat="1" applyFont="1" applyFill="1" applyBorder="1" applyAlignment="1" applyProtection="1">
      <alignment vertical="center" wrapText="1"/>
      <protection hidden="1"/>
    </xf>
    <xf numFmtId="0" fontId="0" fillId="0" borderId="3" xfId="0" applyBorder="1"/>
    <xf numFmtId="0" fontId="0" fillId="2" borderId="3" xfId="0" applyFill="1" applyBorder="1"/>
    <xf numFmtId="1" fontId="2" fillId="2" borderId="3" xfId="0" applyNumberFormat="1" applyFont="1" applyFill="1" applyBorder="1" applyAlignment="1">
      <alignment horizontal="left" vertical="center" wrapText="1"/>
    </xf>
    <xf numFmtId="1" fontId="2" fillId="2" borderId="3" xfId="0" applyNumberFormat="1" applyFont="1" applyFill="1" applyBorder="1" applyAlignment="1">
      <alignment wrapText="1"/>
    </xf>
    <xf numFmtId="1" fontId="2" fillId="2" borderId="3" xfId="0" applyNumberFormat="1" applyFont="1" applyFill="1" applyBorder="1" applyAlignment="1">
      <alignment vertical="center" wrapText="1"/>
    </xf>
    <xf numFmtId="1" fontId="2" fillId="2" borderId="3" xfId="4" applyNumberFormat="1" applyFont="1" applyFill="1" applyBorder="1" applyAlignment="1" applyProtection="1">
      <alignment horizontal="left" vertical="center" wrapText="1"/>
      <protection hidden="1"/>
    </xf>
    <xf numFmtId="1" fontId="2" fillId="6" borderId="3" xfId="0" applyNumberFormat="1" applyFont="1" applyFill="1" applyBorder="1" applyAlignment="1">
      <alignment vertical="center" wrapText="1"/>
    </xf>
    <xf numFmtId="0" fontId="0" fillId="6" borderId="3" xfId="0" applyFill="1" applyBorder="1"/>
    <xf numFmtId="1" fontId="2" fillId="6" borderId="3" xfId="0" applyNumberFormat="1" applyFont="1" applyFill="1" applyBorder="1" applyAlignment="1">
      <alignment wrapText="1"/>
    </xf>
    <xf numFmtId="0" fontId="0" fillId="0" borderId="4" xfId="0" applyBorder="1"/>
    <xf numFmtId="0" fontId="0" fillId="2" borderId="4" xfId="0" applyFill="1" applyBorder="1"/>
    <xf numFmtId="0" fontId="0" fillId="0" borderId="6" xfId="0" applyBorder="1"/>
    <xf numFmtId="0" fontId="0" fillId="0" borderId="1" xfId="0" applyBorder="1"/>
    <xf numFmtId="1" fontId="6" fillId="0" borderId="15" xfId="0" applyNumberFormat="1" applyFont="1" applyBorder="1" applyAlignment="1">
      <alignment horizontal="center" vertical="center" wrapText="1"/>
    </xf>
    <xf numFmtId="1" fontId="6" fillId="0" borderId="18" xfId="0" applyNumberFormat="1" applyFont="1" applyBorder="1" applyAlignment="1">
      <alignment horizontal="center" vertical="center"/>
    </xf>
    <xf numFmtId="1" fontId="6" fillId="0" borderId="15" xfId="0" applyNumberFormat="1" applyFont="1" applyBorder="1" applyAlignment="1">
      <alignment horizontal="center" vertical="center"/>
    </xf>
    <xf numFmtId="1" fontId="6" fillId="0" borderId="17" xfId="0" applyNumberFormat="1" applyFont="1" applyBorder="1" applyAlignment="1">
      <alignment horizontal="center" vertical="center"/>
    </xf>
    <xf numFmtId="1" fontId="6" fillId="0" borderId="34" xfId="0" applyNumberFormat="1" applyFont="1" applyBorder="1" applyAlignment="1">
      <alignment wrapText="1"/>
    </xf>
    <xf numFmtId="1" fontId="6" fillId="0" borderId="43" xfId="0" applyNumberFormat="1" applyFont="1" applyBorder="1" applyAlignment="1">
      <alignment wrapText="1"/>
    </xf>
    <xf numFmtId="1" fontId="6" fillId="0" borderId="62" xfId="0" applyNumberFormat="1" applyFont="1" applyBorder="1" applyAlignment="1">
      <alignment wrapText="1"/>
    </xf>
    <xf numFmtId="1" fontId="6" fillId="0" borderId="79" xfId="0" applyNumberFormat="1" applyFont="1" applyBorder="1" applyAlignment="1">
      <alignment wrapText="1"/>
    </xf>
    <xf numFmtId="1" fontId="6" fillId="0" borderId="80" xfId="1" applyNumberFormat="1" applyFont="1" applyBorder="1" applyAlignment="1">
      <alignment wrapText="1"/>
    </xf>
    <xf numFmtId="1" fontId="6" fillId="0" borderId="79" xfId="1" applyNumberFormat="1" applyFont="1" applyBorder="1" applyAlignment="1">
      <alignment wrapText="1"/>
    </xf>
    <xf numFmtId="1" fontId="6" fillId="0" borderId="71" xfId="0" applyNumberFormat="1" applyFont="1" applyBorder="1" applyAlignment="1">
      <alignment wrapText="1"/>
    </xf>
    <xf numFmtId="1" fontId="6" fillId="0" borderId="73" xfId="0" applyNumberFormat="1" applyFont="1" applyBorder="1" applyAlignment="1">
      <alignment wrapText="1"/>
    </xf>
    <xf numFmtId="1" fontId="6" fillId="0" borderId="60" xfId="0" applyNumberFormat="1" applyFont="1" applyBorder="1" applyAlignment="1">
      <alignment wrapText="1"/>
    </xf>
    <xf numFmtId="0" fontId="0" fillId="0" borderId="2" xfId="0" applyBorder="1"/>
    <xf numFmtId="1" fontId="0" fillId="0" borderId="3" xfId="0" applyNumberFormat="1" applyBorder="1"/>
    <xf numFmtId="1" fontId="6" fillId="0" borderId="45" xfId="0" applyNumberFormat="1" applyFont="1" applyBorder="1" applyAlignment="1">
      <alignment horizontal="center" vertical="center" wrapText="1"/>
    </xf>
    <xf numFmtId="0" fontId="0" fillId="7" borderId="3" xfId="0" applyFill="1" applyBorder="1"/>
    <xf numFmtId="0" fontId="0" fillId="2" borderId="6" xfId="0" applyFill="1" applyBorder="1"/>
    <xf numFmtId="0" fontId="0" fillId="2" borderId="22" xfId="0" applyFill="1" applyBorder="1"/>
    <xf numFmtId="0" fontId="0" fillId="2" borderId="82" xfId="0" applyFill="1" applyBorder="1"/>
    <xf numFmtId="0" fontId="0" fillId="2" borderId="83" xfId="0" applyFill="1" applyBorder="1"/>
    <xf numFmtId="1" fontId="2" fillId="2" borderId="85" xfId="4" applyNumberFormat="1" applyFont="1" applyFill="1" applyBorder="1" applyAlignment="1" applyProtection="1">
      <alignment vertical="center" wrapText="1"/>
      <protection hidden="1"/>
    </xf>
    <xf numFmtId="0" fontId="0" fillId="2" borderId="85" xfId="0" applyFill="1" applyBorder="1"/>
    <xf numFmtId="0" fontId="0" fillId="2" borderId="86" xfId="0" applyFill="1" applyBorder="1"/>
    <xf numFmtId="0" fontId="0" fillId="2" borderId="88" xfId="0" applyFill="1" applyBorder="1"/>
    <xf numFmtId="1" fontId="2" fillId="2" borderId="90" xfId="4" applyNumberFormat="1" applyFont="1" applyFill="1" applyBorder="1" applyAlignment="1" applyProtection="1">
      <alignment vertical="center" wrapText="1"/>
      <protection hidden="1"/>
    </xf>
    <xf numFmtId="0" fontId="0" fillId="2" borderId="90" xfId="0" applyFill="1" applyBorder="1"/>
    <xf numFmtId="0" fontId="0" fillId="2" borderId="91" xfId="0" applyFill="1" applyBorder="1"/>
    <xf numFmtId="1" fontId="2" fillId="2" borderId="90" xfId="0" applyNumberFormat="1" applyFont="1" applyFill="1" applyBorder="1" applyAlignment="1">
      <alignment horizontal="left" vertical="center" wrapText="1"/>
    </xf>
    <xf numFmtId="0" fontId="0" fillId="7" borderId="90" xfId="0" applyFill="1" applyBorder="1"/>
    <xf numFmtId="1" fontId="2" fillId="2" borderId="22" xfId="0" applyNumberFormat="1" applyFont="1" applyFill="1" applyBorder="1" applyAlignment="1">
      <alignment vertical="center" wrapText="1"/>
    </xf>
    <xf numFmtId="1" fontId="2" fillId="2" borderId="85" xfId="0" applyNumberFormat="1" applyFont="1" applyFill="1" applyBorder="1" applyAlignment="1">
      <alignment wrapText="1"/>
    </xf>
    <xf numFmtId="1" fontId="2" fillId="2" borderId="90" xfId="0" applyNumberFormat="1" applyFont="1" applyFill="1" applyBorder="1" applyAlignment="1">
      <alignment wrapText="1"/>
    </xf>
    <xf numFmtId="1" fontId="2" fillId="2" borderId="85" xfId="0" applyNumberFormat="1" applyFont="1" applyFill="1" applyBorder="1" applyAlignment="1">
      <alignment vertical="center" wrapText="1"/>
    </xf>
    <xf numFmtId="1" fontId="2" fillId="2" borderId="90" xfId="0" applyNumberFormat="1" applyFont="1" applyFill="1" applyBorder="1" applyAlignment="1">
      <alignment vertical="center" wrapText="1"/>
    </xf>
    <xf numFmtId="0" fontId="0" fillId="2" borderId="92" xfId="0" applyFill="1" applyBorder="1"/>
    <xf numFmtId="0" fontId="0" fillId="2" borderId="93" xfId="0" applyFill="1" applyBorder="1"/>
    <xf numFmtId="0" fontId="0" fillId="2" borderId="84" xfId="0" applyFill="1" applyBorder="1"/>
    <xf numFmtId="0" fontId="0" fillId="2" borderId="87" xfId="0" applyFill="1" applyBorder="1"/>
    <xf numFmtId="0" fontId="0" fillId="2" borderId="89" xfId="0" applyFill="1" applyBorder="1"/>
    <xf numFmtId="0" fontId="0" fillId="0" borderId="22" xfId="0" applyBorder="1"/>
    <xf numFmtId="1" fontId="6" fillId="0" borderId="98" xfId="0" applyNumberFormat="1" applyFont="1" applyBorder="1" applyAlignment="1">
      <alignment wrapText="1"/>
    </xf>
    <xf numFmtId="0" fontId="0" fillId="0" borderId="99" xfId="0" applyBorder="1"/>
    <xf numFmtId="0" fontId="0" fillId="0" borderId="85" xfId="0" applyBorder="1"/>
    <xf numFmtId="1" fontId="6" fillId="0" borderId="104" xfId="0" applyNumberFormat="1" applyFont="1" applyBorder="1" applyAlignment="1">
      <alignment wrapText="1"/>
    </xf>
    <xf numFmtId="0" fontId="0" fillId="0" borderId="105" xfId="0" applyBorder="1"/>
    <xf numFmtId="0" fontId="0" fillId="0" borderId="90" xfId="0" applyBorder="1"/>
    <xf numFmtId="1" fontId="7" fillId="0" borderId="107" xfId="0" applyNumberFormat="1" applyFont="1" applyBorder="1"/>
    <xf numFmtId="1" fontId="7" fillId="0" borderId="83" xfId="0" applyNumberFormat="1" applyFont="1" applyBorder="1"/>
    <xf numFmtId="0" fontId="0" fillId="0" borderId="83" xfId="0" applyBorder="1"/>
    <xf numFmtId="0" fontId="0" fillId="0" borderId="82" xfId="0" applyBorder="1"/>
    <xf numFmtId="0" fontId="0" fillId="0" borderId="86" xfId="0" applyBorder="1"/>
    <xf numFmtId="0" fontId="0" fillId="0" borderId="88" xfId="0" applyBorder="1"/>
    <xf numFmtId="1" fontId="6" fillId="0" borderId="110" xfId="1" applyNumberFormat="1" applyFont="1" applyBorder="1" applyAlignment="1">
      <alignment wrapText="1"/>
    </xf>
    <xf numFmtId="0" fontId="0" fillId="0" borderId="91" xfId="0" applyBorder="1"/>
    <xf numFmtId="1" fontId="6" fillId="0" borderId="111" xfId="0" applyNumberFormat="1" applyFont="1" applyBorder="1" applyAlignment="1">
      <alignment wrapText="1"/>
    </xf>
    <xf numFmtId="1" fontId="6" fillId="0" borderId="112" xfId="0" applyNumberFormat="1" applyFont="1" applyBorder="1" applyAlignment="1">
      <alignment wrapText="1"/>
    </xf>
    <xf numFmtId="1" fontId="6" fillId="0" borderId="105" xfId="0" applyNumberFormat="1" applyFont="1" applyBorder="1" applyAlignment="1">
      <alignment wrapText="1"/>
    </xf>
    <xf numFmtId="1" fontId="6" fillId="0" borderId="110" xfId="0" applyNumberFormat="1" applyFont="1" applyBorder="1" applyAlignment="1">
      <alignment wrapText="1"/>
    </xf>
    <xf numFmtId="1" fontId="6" fillId="0" borderId="116" xfId="0" applyNumberFormat="1" applyFont="1" applyBorder="1" applyAlignment="1">
      <alignment wrapText="1"/>
    </xf>
    <xf numFmtId="0" fontId="0" fillId="0" borderId="117" xfId="0" applyBorder="1"/>
    <xf numFmtId="0" fontId="0" fillId="0" borderId="118" xfId="0" applyBorder="1"/>
    <xf numFmtId="0" fontId="0" fillId="0" borderId="119" xfId="0" applyBorder="1"/>
    <xf numFmtId="0" fontId="0" fillId="8" borderId="0" xfId="0" applyFill="1"/>
    <xf numFmtId="0" fontId="0" fillId="8" borderId="118" xfId="0" applyFill="1" applyBorder="1"/>
    <xf numFmtId="0" fontId="0" fillId="9" borderId="3" xfId="0" applyFill="1" applyBorder="1"/>
    <xf numFmtId="0" fontId="0" fillId="9" borderId="90" xfId="0" applyFill="1" applyBorder="1"/>
    <xf numFmtId="1" fontId="6" fillId="0" borderId="99" xfId="0" applyNumberFormat="1" applyFont="1" applyBorder="1" applyAlignment="1">
      <alignment wrapText="1"/>
    </xf>
    <xf numFmtId="1" fontId="2" fillId="2" borderId="92" xfId="0" applyNumberFormat="1" applyFont="1" applyFill="1" applyBorder="1" applyAlignment="1">
      <alignment wrapText="1"/>
    </xf>
    <xf numFmtId="1" fontId="2" fillId="2" borderId="4" xfId="0" applyNumberFormat="1" applyFont="1" applyFill="1" applyBorder="1" applyAlignment="1">
      <alignment wrapText="1"/>
    </xf>
    <xf numFmtId="1" fontId="2" fillId="2" borderId="93" xfId="0" applyNumberFormat="1" applyFont="1" applyFill="1" applyBorder="1" applyAlignment="1">
      <alignment wrapText="1"/>
    </xf>
    <xf numFmtId="1" fontId="2" fillId="2" borderId="92" xfId="0" applyNumberFormat="1" applyFont="1" applyFill="1" applyBorder="1" applyAlignment="1">
      <alignment vertical="center" wrapText="1"/>
    </xf>
    <xf numFmtId="1" fontId="2" fillId="2" borderId="4" xfId="0" applyNumberFormat="1" applyFont="1" applyFill="1" applyBorder="1" applyAlignment="1">
      <alignment vertical="center" wrapText="1"/>
    </xf>
    <xf numFmtId="1" fontId="2" fillId="2" borderId="93" xfId="0" applyNumberFormat="1" applyFont="1" applyFill="1" applyBorder="1" applyAlignment="1">
      <alignment vertical="center" wrapText="1"/>
    </xf>
    <xf numFmtId="1" fontId="2" fillId="2" borderId="16" xfId="0" applyNumberFormat="1" applyFont="1" applyFill="1" applyBorder="1" applyAlignment="1">
      <alignment vertical="center" wrapText="1"/>
    </xf>
    <xf numFmtId="1" fontId="2" fillId="6" borderId="4" xfId="0" applyNumberFormat="1" applyFont="1" applyFill="1" applyBorder="1" applyAlignment="1">
      <alignment vertical="center" wrapText="1"/>
    </xf>
    <xf numFmtId="1" fontId="2" fillId="2" borderId="4" xfId="4" applyNumberFormat="1" applyFont="1" applyFill="1" applyBorder="1" applyAlignment="1" applyProtection="1">
      <alignment vertical="center" wrapText="1"/>
      <protection hidden="1"/>
    </xf>
    <xf numFmtId="1" fontId="2" fillId="6" borderId="4" xfId="0" applyNumberFormat="1" applyFont="1" applyFill="1" applyBorder="1" applyAlignment="1">
      <alignment wrapText="1"/>
    </xf>
    <xf numFmtId="1" fontId="2" fillId="2" borderId="4" xfId="4" applyNumberFormat="1" applyFont="1" applyFill="1" applyBorder="1" applyAlignment="1" applyProtection="1">
      <alignment horizontal="left" vertical="center" wrapText="1"/>
      <protection hidden="1"/>
    </xf>
    <xf numFmtId="0" fontId="0" fillId="0" borderId="121" xfId="0" applyBorder="1"/>
    <xf numFmtId="0" fontId="0" fillId="2" borderId="99" xfId="0" applyFill="1" applyBorder="1"/>
    <xf numFmtId="0" fontId="0" fillId="2" borderId="119" xfId="0" applyFill="1" applyBorder="1"/>
    <xf numFmtId="0" fontId="0" fillId="2" borderId="105" xfId="0" applyFill="1" applyBorder="1"/>
    <xf numFmtId="0" fontId="0" fillId="2" borderId="106" xfId="0" applyFill="1" applyBorder="1"/>
    <xf numFmtId="0" fontId="0" fillId="2" borderId="102" xfId="0" applyFill="1" applyBorder="1"/>
    <xf numFmtId="0" fontId="0" fillId="2" borderId="121" xfId="0" applyFill="1" applyBorder="1"/>
    <xf numFmtId="0" fontId="0" fillId="2" borderId="107" xfId="0" applyFill="1" applyBorder="1"/>
    <xf numFmtId="0" fontId="0" fillId="2" borderId="108" xfId="0" applyFill="1" applyBorder="1"/>
    <xf numFmtId="1" fontId="2" fillId="2" borderId="92" xfId="4" applyNumberFormat="1" applyFont="1" applyFill="1" applyBorder="1" applyAlignment="1" applyProtection="1">
      <alignment vertical="center" wrapText="1"/>
      <protection hidden="1"/>
    </xf>
    <xf numFmtId="1" fontId="2" fillId="2" borderId="4" xfId="0" applyNumberFormat="1" applyFont="1" applyFill="1" applyBorder="1" applyAlignment="1">
      <alignment horizontal="left" vertical="center" wrapText="1"/>
    </xf>
    <xf numFmtId="1" fontId="2" fillId="2" borderId="93" xfId="0" applyNumberFormat="1" applyFont="1" applyFill="1" applyBorder="1" applyAlignment="1">
      <alignment horizontal="left" vertical="center" wrapText="1"/>
    </xf>
    <xf numFmtId="1" fontId="2" fillId="2" borderId="93" xfId="4" applyNumberFormat="1" applyFont="1" applyFill="1" applyBorder="1" applyAlignment="1" applyProtection="1">
      <alignment vertical="center" wrapText="1"/>
      <protection hidden="1"/>
    </xf>
    <xf numFmtId="0" fontId="0" fillId="0" borderId="10" xfId="0" applyBorder="1"/>
    <xf numFmtId="0" fontId="0" fillId="0" borderId="122" xfId="0" applyBorder="1"/>
    <xf numFmtId="0" fontId="0" fillId="9" borderId="10" xfId="0" applyFill="1" applyBorder="1"/>
    <xf numFmtId="0" fontId="0" fillId="9" borderId="123" xfId="0" applyFill="1" applyBorder="1"/>
    <xf numFmtId="0" fontId="0" fillId="0" borderId="124" xfId="0" applyBorder="1"/>
    <xf numFmtId="0" fontId="0" fillId="2" borderId="122" xfId="0" applyFill="1" applyBorder="1"/>
    <xf numFmtId="0" fontId="0" fillId="2" borderId="10" xfId="0" applyFill="1" applyBorder="1"/>
    <xf numFmtId="0" fontId="0" fillId="2" borderId="2" xfId="0" applyFill="1" applyBorder="1"/>
    <xf numFmtId="0" fontId="0" fillId="2" borderId="123" xfId="0" applyFill="1" applyBorder="1"/>
    <xf numFmtId="1" fontId="6" fillId="0" borderId="125" xfId="0" applyNumberFormat="1" applyFont="1" applyBorder="1" applyAlignment="1">
      <alignment horizontal="center" vertical="center" wrapText="1"/>
    </xf>
    <xf numFmtId="1" fontId="6" fillId="0" borderId="120" xfId="0" applyNumberFormat="1" applyFont="1" applyBorder="1" applyAlignment="1">
      <alignment horizontal="center" vertical="center"/>
    </xf>
    <xf numFmtId="0" fontId="0" fillId="0" borderId="107" xfId="0" applyBorder="1"/>
    <xf numFmtId="0" fontId="0" fillId="0" borderId="95" xfId="0" applyBorder="1"/>
    <xf numFmtId="0" fontId="0" fillId="10" borderId="99" xfId="0" applyFill="1" applyBorder="1"/>
    <xf numFmtId="0" fontId="0" fillId="10" borderId="0" xfId="0" applyFill="1"/>
    <xf numFmtId="0" fontId="0" fillId="10" borderId="105" xfId="0" applyFill="1" applyBorder="1"/>
    <xf numFmtId="0" fontId="0" fillId="10" borderId="85" xfId="0" applyFill="1" applyBorder="1"/>
    <xf numFmtId="0" fontId="0" fillId="10" borderId="86" xfId="0" applyFill="1" applyBorder="1"/>
    <xf numFmtId="0" fontId="0" fillId="10" borderId="3" xfId="0" applyFill="1" applyBorder="1"/>
    <xf numFmtId="0" fontId="0" fillId="10" borderId="90" xfId="0" applyFill="1" applyBorder="1"/>
    <xf numFmtId="0" fontId="0" fillId="10" borderId="84" xfId="0" applyFill="1" applyBorder="1"/>
    <xf numFmtId="0" fontId="0" fillId="0" borderId="16" xfId="0" applyBorder="1"/>
    <xf numFmtId="0" fontId="0" fillId="0" borderId="15" xfId="0" applyBorder="1"/>
    <xf numFmtId="1" fontId="6" fillId="0" borderId="129" xfId="0" applyNumberFormat="1" applyFont="1" applyBorder="1" applyAlignment="1">
      <alignment horizontal="center" vertical="center"/>
    </xf>
    <xf numFmtId="1" fontId="6" fillId="0" borderId="130" xfId="0" applyNumberFormat="1" applyFont="1" applyBorder="1" applyAlignment="1">
      <alignment horizontal="center" vertical="center"/>
    </xf>
    <xf numFmtId="1" fontId="6" fillId="0" borderId="131" xfId="0" applyNumberFormat="1" applyFont="1" applyBorder="1" applyAlignment="1">
      <alignment horizontal="center" vertical="center"/>
    </xf>
    <xf numFmtId="1" fontId="6" fillId="0" borderId="105" xfId="0" applyNumberFormat="1" applyFont="1" applyBorder="1" applyAlignment="1">
      <alignment horizontal="center" vertical="center"/>
    </xf>
    <xf numFmtId="1" fontId="6" fillId="0" borderId="132" xfId="0" applyNumberFormat="1" applyFont="1" applyBorder="1" applyAlignment="1">
      <alignment horizontal="center" vertical="center" wrapText="1"/>
    </xf>
    <xf numFmtId="0" fontId="0" fillId="0" borderId="92" xfId="0" applyBorder="1"/>
    <xf numFmtId="0" fontId="0" fillId="0" borderId="93" xfId="0" applyBorder="1"/>
    <xf numFmtId="0" fontId="0" fillId="0" borderId="94" xfId="0" applyBorder="1"/>
    <xf numFmtId="0" fontId="0" fillId="2" borderId="1" xfId="0" applyFill="1" applyBorder="1"/>
    <xf numFmtId="0" fontId="0" fillId="0" borderId="123" xfId="0" applyBorder="1"/>
    <xf numFmtId="1" fontId="6" fillId="0" borderId="129" xfId="0" applyNumberFormat="1" applyFont="1" applyBorder="1" applyAlignment="1">
      <alignment horizontal="center" vertical="center" wrapText="1"/>
    </xf>
    <xf numFmtId="1" fontId="6" fillId="0" borderId="137" xfId="0" applyNumberFormat="1" applyFont="1" applyBorder="1" applyAlignment="1">
      <alignment horizontal="center" vertical="center" wrapText="1"/>
    </xf>
    <xf numFmtId="0" fontId="0" fillId="11" borderId="85" xfId="0" applyFill="1" applyBorder="1"/>
    <xf numFmtId="0" fontId="0" fillId="11" borderId="3" xfId="0" applyFill="1" applyBorder="1"/>
    <xf numFmtId="0" fontId="0" fillId="11" borderId="90" xfId="0" applyFill="1" applyBorder="1"/>
    <xf numFmtId="0" fontId="0" fillId="10" borderId="92" xfId="0" applyFill="1" applyBorder="1"/>
    <xf numFmtId="0" fontId="0" fillId="10" borderId="4" xfId="0" applyFill="1" applyBorder="1"/>
    <xf numFmtId="0" fontId="0" fillId="10" borderId="6" xfId="0" applyFill="1" applyBorder="1"/>
    <xf numFmtId="0" fontId="0" fillId="10" borderId="1" xfId="0" applyFill="1" applyBorder="1"/>
    <xf numFmtId="1" fontId="2" fillId="0" borderId="22" xfId="4" applyNumberFormat="1" applyFont="1" applyBorder="1" applyAlignment="1" applyProtection="1">
      <alignment vertical="center" wrapText="1"/>
      <protection hidden="1"/>
    </xf>
    <xf numFmtId="1" fontId="2" fillId="2" borderId="87" xfId="4" applyNumberFormat="1" applyFont="1" applyFill="1" applyBorder="1" applyAlignment="1" applyProtection="1">
      <alignment horizontal="left" vertical="center" wrapText="1"/>
      <protection hidden="1"/>
    </xf>
    <xf numFmtId="1" fontId="2" fillId="0" borderId="16" xfId="4" applyNumberFormat="1" applyFont="1" applyBorder="1" applyAlignment="1" applyProtection="1">
      <alignment horizontal="left" vertical="center" wrapText="1"/>
      <protection hidden="1"/>
    </xf>
    <xf numFmtId="1" fontId="2" fillId="12" borderId="11" xfId="3" applyNumberFormat="1" applyFont="1" applyFill="1" applyBorder="1" applyAlignment="1">
      <alignment horizontal="right"/>
    </xf>
    <xf numFmtId="1" fontId="2" fillId="12" borderId="10" xfId="3" applyNumberFormat="1" applyFont="1" applyFill="1" applyBorder="1" applyAlignment="1">
      <alignment horizontal="right"/>
    </xf>
    <xf numFmtId="1" fontId="2" fillId="12" borderId="29" xfId="3" applyNumberFormat="1" applyFont="1" applyFill="1" applyBorder="1" applyAlignment="1">
      <alignment horizontal="right"/>
    </xf>
    <xf numFmtId="1" fontId="2" fillId="4" borderId="29" xfId="3" applyNumberFormat="1" applyFont="1" applyFill="1" applyBorder="1" applyAlignment="1" applyProtection="1">
      <alignment horizontal="right"/>
      <protection locked="0"/>
    </xf>
    <xf numFmtId="1" fontId="2" fillId="4" borderId="30" xfId="3" applyNumberFormat="1" applyFont="1" applyFill="1" applyBorder="1" applyAlignment="1" applyProtection="1">
      <alignment horizontal="right"/>
      <protection locked="0"/>
    </xf>
    <xf numFmtId="1" fontId="2" fillId="4" borderId="34" xfId="3" applyNumberFormat="1" applyFont="1" applyFill="1" applyBorder="1" applyAlignment="1">
      <alignment horizontal="right"/>
    </xf>
    <xf numFmtId="1" fontId="2" fillId="4" borderId="26" xfId="3" applyNumberFormat="1" applyFont="1" applyFill="1" applyBorder="1" applyAlignment="1" applyProtection="1">
      <alignment horizontal="right"/>
      <protection locked="0"/>
    </xf>
    <xf numFmtId="1" fontId="2" fillId="4" borderId="51" xfId="3" applyNumberFormat="1" applyFont="1" applyFill="1" applyBorder="1" applyAlignment="1" applyProtection="1">
      <alignment horizontal="right"/>
      <protection locked="0"/>
    </xf>
    <xf numFmtId="1" fontId="2" fillId="3" borderId="79" xfId="3" applyNumberFormat="1" applyFont="1" applyFill="1" applyBorder="1" applyAlignment="1" applyProtection="1">
      <alignment horizontal="right"/>
      <protection locked="0"/>
    </xf>
    <xf numFmtId="1" fontId="2" fillId="4" borderId="26" xfId="3" applyNumberFormat="1" applyFont="1" applyFill="1" applyBorder="1" applyAlignment="1">
      <alignment horizontal="right"/>
    </xf>
    <xf numFmtId="1" fontId="2" fillId="4" borderId="44" xfId="3" applyNumberFormat="1" applyFont="1" applyFill="1" applyBorder="1" applyAlignment="1" applyProtection="1">
      <alignment horizontal="right"/>
      <protection locked="0"/>
    </xf>
    <xf numFmtId="1" fontId="2" fillId="4" borderId="47" xfId="3" applyNumberFormat="1" applyFont="1" applyFill="1" applyBorder="1" applyAlignment="1" applyProtection="1">
      <alignment horizontal="right"/>
      <protection locked="0"/>
    </xf>
    <xf numFmtId="1" fontId="2" fillId="3" borderId="138" xfId="3" applyNumberFormat="1" applyFont="1" applyFill="1" applyBorder="1" applyAlignment="1" applyProtection="1">
      <alignment horizontal="right"/>
      <protection locked="0"/>
    </xf>
    <xf numFmtId="1" fontId="6" fillId="0" borderId="139" xfId="0" applyNumberFormat="1" applyFont="1" applyBorder="1" applyAlignment="1">
      <alignment horizontal="left" vertical="center" wrapText="1"/>
    </xf>
    <xf numFmtId="1" fontId="6" fillId="0" borderId="15" xfId="0" applyNumberFormat="1" applyFont="1" applyBorder="1" applyAlignment="1">
      <alignment wrapText="1"/>
    </xf>
    <xf numFmtId="1" fontId="2" fillId="0" borderId="3" xfId="3" applyNumberFormat="1" applyFont="1" applyBorder="1" applyAlignment="1">
      <alignment horizontal="right"/>
    </xf>
    <xf numFmtId="0" fontId="0" fillId="13" borderId="118" xfId="0" applyFill="1" applyBorder="1"/>
    <xf numFmtId="0" fontId="0" fillId="13" borderId="0" xfId="0" applyFill="1"/>
    <xf numFmtId="0" fontId="0" fillId="13" borderId="100" xfId="0" applyFill="1" applyBorder="1"/>
    <xf numFmtId="1" fontId="2" fillId="12" borderId="3" xfId="3" applyNumberFormat="1" applyFont="1" applyFill="1" applyBorder="1" applyAlignment="1">
      <alignment horizontal="right"/>
    </xf>
    <xf numFmtId="1" fontId="2" fillId="0" borderId="54" xfId="3" applyNumberFormat="1" applyFont="1" applyBorder="1" applyAlignment="1">
      <alignment horizontal="right"/>
    </xf>
    <xf numFmtId="1" fontId="2" fillId="0" borderId="36" xfId="3" applyNumberFormat="1" applyFont="1" applyBorder="1" applyAlignment="1">
      <alignment horizontal="right"/>
    </xf>
    <xf numFmtId="1" fontId="2" fillId="0" borderId="22" xfId="3" applyNumberFormat="1" applyFont="1" applyBorder="1" applyAlignment="1">
      <alignment horizontal="right"/>
    </xf>
    <xf numFmtId="1" fontId="2" fillId="0" borderId="25" xfId="3" applyNumberFormat="1" applyFont="1" applyBorder="1" applyAlignment="1">
      <alignment horizontal="right"/>
    </xf>
    <xf numFmtId="1" fontId="2" fillId="0" borderId="70" xfId="3" applyNumberFormat="1" applyFont="1" applyBorder="1" applyAlignment="1">
      <alignment horizontal="right"/>
    </xf>
    <xf numFmtId="1" fontId="2" fillId="0" borderId="60" xfId="3" applyNumberFormat="1" applyFont="1" applyBorder="1" applyAlignment="1">
      <alignment horizontal="right"/>
    </xf>
    <xf numFmtId="1" fontId="2" fillId="0" borderId="27" xfId="0" applyNumberFormat="1" applyFont="1" applyBorder="1" applyAlignment="1">
      <alignment wrapText="1"/>
    </xf>
    <xf numFmtId="1" fontId="2" fillId="0" borderId="61" xfId="0" applyNumberFormat="1" applyFont="1" applyBorder="1" applyAlignment="1">
      <alignment wrapText="1"/>
    </xf>
    <xf numFmtId="1" fontId="2" fillId="0" borderId="13" xfId="0" applyNumberFormat="1" applyFont="1" applyBorder="1" applyAlignment="1">
      <alignment wrapText="1"/>
    </xf>
    <xf numFmtId="1" fontId="2" fillId="0" borderId="75" xfId="0" applyNumberFormat="1" applyFont="1" applyBorder="1" applyAlignment="1">
      <alignment wrapText="1"/>
    </xf>
    <xf numFmtId="1" fontId="2" fillId="0" borderId="13" xfId="3" applyNumberFormat="1" applyFont="1" applyBorder="1" applyAlignment="1">
      <alignment horizontal="right"/>
    </xf>
    <xf numFmtId="0" fontId="0" fillId="4" borderId="122" xfId="0" applyFill="1" applyBorder="1"/>
    <xf numFmtId="0" fontId="0" fillId="4" borderId="85" xfId="0" applyFill="1" applyBorder="1"/>
    <xf numFmtId="0" fontId="0" fillId="4" borderId="10" xfId="0" applyFill="1" applyBorder="1"/>
    <xf numFmtId="0" fontId="0" fillId="4" borderId="3" xfId="0" applyFill="1" applyBorder="1"/>
    <xf numFmtId="0" fontId="0" fillId="4" borderId="2" xfId="0" applyFill="1" applyBorder="1"/>
    <xf numFmtId="0" fontId="0" fillId="4" borderId="6" xfId="0" applyFill="1" applyBorder="1"/>
    <xf numFmtId="0" fontId="8" fillId="0" borderId="0" xfId="0" applyFont="1"/>
    <xf numFmtId="1" fontId="6" fillId="14" borderId="80" xfId="0" applyNumberFormat="1" applyFont="1" applyFill="1" applyBorder="1" applyAlignment="1">
      <alignment wrapText="1"/>
    </xf>
    <xf numFmtId="1" fontId="2" fillId="14" borderId="109" xfId="4" applyNumberFormat="1" applyFont="1" applyFill="1" applyBorder="1" applyAlignment="1" applyProtection="1">
      <alignment horizontal="center" vertical="center" wrapText="1"/>
      <protection hidden="1"/>
    </xf>
    <xf numFmtId="1" fontId="2" fillId="14" borderId="8" xfId="4" applyNumberFormat="1" applyFont="1" applyFill="1" applyBorder="1" applyAlignment="1" applyProtection="1">
      <alignment vertical="center" wrapText="1"/>
      <protection hidden="1"/>
    </xf>
    <xf numFmtId="0" fontId="0" fillId="14" borderId="118" xfId="0" applyFill="1" applyBorder="1"/>
    <xf numFmtId="0" fontId="0" fillId="14" borderId="13" xfId="0" applyFill="1" applyBorder="1"/>
    <xf numFmtId="0" fontId="0" fillId="14" borderId="140" xfId="0" applyFill="1" applyBorder="1"/>
    <xf numFmtId="0" fontId="0" fillId="14" borderId="9" xfId="0" applyFill="1" applyBorder="1"/>
    <xf numFmtId="0" fontId="0" fillId="14" borderId="8" xfId="0" applyFill="1" applyBorder="1"/>
    <xf numFmtId="0" fontId="0" fillId="14" borderId="0" xfId="0" applyFill="1"/>
    <xf numFmtId="1" fontId="0" fillId="14" borderId="0" xfId="0" applyNumberFormat="1" applyFill="1"/>
    <xf numFmtId="0" fontId="8" fillId="14" borderId="0" xfId="0" applyFont="1" applyFill="1"/>
    <xf numFmtId="1" fontId="0" fillId="14" borderId="3" xfId="0" applyNumberFormat="1" applyFill="1" applyBorder="1"/>
    <xf numFmtId="0" fontId="0" fillId="15" borderId="0" xfId="0" applyFill="1"/>
    <xf numFmtId="0" fontId="0" fillId="15" borderId="10" xfId="0" applyFill="1" applyBorder="1"/>
    <xf numFmtId="0" fontId="0" fillId="15" borderId="3" xfId="0" applyFill="1" applyBorder="1"/>
    <xf numFmtId="0" fontId="0" fillId="15" borderId="4" xfId="0" applyFill="1" applyBorder="1"/>
    <xf numFmtId="0" fontId="0" fillId="15" borderId="84" xfId="0" applyFill="1" applyBorder="1"/>
    <xf numFmtId="0" fontId="0" fillId="15" borderId="85" xfId="0" applyFill="1" applyBorder="1"/>
    <xf numFmtId="0" fontId="0" fillId="15" borderId="86" xfId="0" applyFill="1" applyBorder="1"/>
    <xf numFmtId="0" fontId="0" fillId="16" borderId="0" xfId="0" applyFill="1"/>
    <xf numFmtId="0" fontId="0" fillId="16" borderId="118" xfId="0" applyFill="1" applyBorder="1"/>
    <xf numFmtId="0" fontId="0" fillId="16" borderId="3" xfId="0" applyFill="1" applyBorder="1"/>
    <xf numFmtId="0" fontId="0" fillId="16" borderId="88" xfId="0" applyFill="1" applyBorder="1"/>
    <xf numFmtId="0" fontId="0" fillId="16" borderId="10" xfId="0" applyFill="1" applyBorder="1"/>
    <xf numFmtId="0" fontId="0" fillId="16" borderId="4" xfId="0" applyFill="1" applyBorder="1"/>
    <xf numFmtId="0" fontId="0" fillId="16" borderId="122" xfId="0" applyFill="1" applyBorder="1"/>
    <xf numFmtId="0" fontId="0" fillId="16" borderId="22" xfId="0" applyFill="1" applyBorder="1"/>
    <xf numFmtId="1" fontId="0" fillId="16" borderId="0" xfId="0" applyNumberFormat="1" applyFill="1"/>
    <xf numFmtId="0" fontId="8" fillId="16" borderId="0" xfId="0" applyFont="1" applyFill="1"/>
    <xf numFmtId="1" fontId="0" fillId="16" borderId="3" xfId="0" applyNumberFormat="1" applyFill="1" applyBorder="1"/>
    <xf numFmtId="1" fontId="7" fillId="0" borderId="4" xfId="0" applyNumberFormat="1" applyFont="1" applyBorder="1"/>
    <xf numFmtId="1" fontId="7" fillId="0" borderId="11" xfId="0" applyNumberFormat="1" applyFont="1" applyBorder="1"/>
    <xf numFmtId="1" fontId="6" fillId="0" borderId="97" xfId="0" applyNumberFormat="1" applyFont="1" applyBorder="1" applyAlignment="1">
      <alignment horizontal="left" vertical="center" wrapText="1"/>
    </xf>
    <xf numFmtId="1" fontId="6" fillId="0" borderId="109" xfId="0" applyNumberFormat="1" applyFont="1" applyBorder="1" applyAlignment="1">
      <alignment horizontal="left" vertical="center" wrapText="1"/>
    </xf>
    <xf numFmtId="1" fontId="6" fillId="0" borderId="103" xfId="0" applyNumberFormat="1" applyFont="1" applyBorder="1" applyAlignment="1">
      <alignment horizontal="left" vertical="center" wrapText="1"/>
    </xf>
    <xf numFmtId="1" fontId="6" fillId="0" borderId="113" xfId="0" applyNumberFormat="1" applyFont="1" applyBorder="1" applyAlignment="1">
      <alignment wrapText="1"/>
    </xf>
    <xf numFmtId="1" fontId="6" fillId="0" borderId="98" xfId="0" applyNumberFormat="1" applyFont="1" applyBorder="1" applyAlignment="1">
      <alignment wrapText="1"/>
    </xf>
    <xf numFmtId="1" fontId="6" fillId="0" borderId="115" xfId="0" applyNumberFormat="1" applyFont="1" applyBorder="1" applyAlignment="1">
      <alignment wrapText="1"/>
    </xf>
    <xf numFmtId="1" fontId="6" fillId="0" borderId="104" xfId="0" applyNumberFormat="1" applyFont="1" applyBorder="1" applyAlignment="1">
      <alignment wrapText="1"/>
    </xf>
    <xf numFmtId="1" fontId="2" fillId="0" borderId="113" xfId="0" applyNumberFormat="1" applyFont="1" applyBorder="1" applyAlignment="1">
      <alignment horizontal="left" wrapText="1"/>
    </xf>
    <xf numFmtId="1" fontId="2" fillId="0" borderId="98" xfId="0" applyNumberFormat="1" applyFont="1" applyBorder="1" applyAlignment="1">
      <alignment horizontal="left" wrapText="1"/>
    </xf>
    <xf numFmtId="1" fontId="6" fillId="0" borderId="114" xfId="0" applyNumberFormat="1" applyFont="1" applyBorder="1" applyAlignment="1">
      <alignment horizontal="left" vertical="center" wrapText="1"/>
    </xf>
    <xf numFmtId="1" fontId="6" fillId="0" borderId="62" xfId="0" applyNumberFormat="1" applyFont="1" applyBorder="1" applyAlignment="1">
      <alignment horizontal="left" vertical="center" wrapText="1"/>
    </xf>
    <xf numFmtId="1" fontId="6" fillId="0" borderId="114" xfId="0" applyNumberFormat="1" applyFont="1" applyBorder="1" applyAlignment="1">
      <alignment horizontal="left" wrapText="1"/>
    </xf>
    <xf numFmtId="1" fontId="6" fillId="0" borderId="62" xfId="0" applyNumberFormat="1" applyFont="1" applyBorder="1" applyAlignment="1">
      <alignment horizontal="left" wrapText="1"/>
    </xf>
    <xf numFmtId="1" fontId="6" fillId="0" borderId="115" xfId="0" applyNumberFormat="1" applyFont="1" applyBorder="1" applyAlignment="1">
      <alignment horizontal="left" wrapText="1"/>
    </xf>
    <xf numFmtId="1" fontId="6" fillId="0" borderId="104" xfId="0" applyNumberFormat="1" applyFont="1" applyBorder="1" applyAlignment="1">
      <alignment horizontal="left" wrapText="1"/>
    </xf>
    <xf numFmtId="1" fontId="6" fillId="16" borderId="101" xfId="0" applyNumberFormat="1" applyFont="1" applyFill="1" applyBorder="1" applyAlignment="1">
      <alignment wrapText="1"/>
    </xf>
    <xf numFmtId="1" fontId="6" fillId="16" borderId="10" xfId="0" applyNumberFormat="1" applyFont="1" applyFill="1" applyBorder="1" applyAlignment="1">
      <alignment wrapText="1"/>
    </xf>
    <xf numFmtId="1" fontId="6" fillId="0" borderId="102" xfId="0" applyNumberFormat="1" applyFont="1" applyBorder="1" applyAlignment="1">
      <alignment horizontal="left" vertical="center" wrapText="1"/>
    </xf>
    <xf numFmtId="1" fontId="2" fillId="0" borderId="97" xfId="0" applyNumberFormat="1" applyFont="1" applyBorder="1" applyAlignment="1">
      <alignment horizontal="left" vertical="center" wrapText="1"/>
    </xf>
    <xf numFmtId="1" fontId="2" fillId="0" borderId="109" xfId="0" applyNumberFormat="1" applyFont="1" applyBorder="1" applyAlignment="1">
      <alignment horizontal="left" vertical="center" wrapText="1"/>
    </xf>
    <xf numFmtId="1" fontId="2" fillId="0" borderId="103" xfId="0" applyNumberFormat="1" applyFont="1" applyBorder="1" applyAlignment="1">
      <alignment horizontal="left" vertical="center" wrapText="1"/>
    </xf>
    <xf numFmtId="1" fontId="6" fillId="0" borderId="127" xfId="0" applyNumberFormat="1" applyFont="1" applyBorder="1" applyAlignment="1">
      <alignment horizontal="center" vertical="center" wrapText="1"/>
    </xf>
    <xf numFmtId="1" fontId="6" fillId="0" borderId="133" xfId="0" applyNumberFormat="1" applyFont="1" applyBorder="1" applyAlignment="1">
      <alignment horizontal="center" vertical="center" wrapText="1"/>
    </xf>
    <xf numFmtId="1" fontId="6" fillId="0" borderId="128" xfId="0" applyNumberFormat="1" applyFont="1" applyBorder="1" applyAlignment="1">
      <alignment horizontal="center" vertical="center" wrapText="1"/>
    </xf>
    <xf numFmtId="1" fontId="6" fillId="0" borderId="134" xfId="0" applyNumberFormat="1" applyFont="1" applyBorder="1" applyAlignment="1">
      <alignment horizontal="center" vertical="center" wrapText="1"/>
    </xf>
    <xf numFmtId="1" fontId="7" fillId="0" borderId="4" xfId="0" applyNumberFormat="1" applyFont="1" applyBorder="1"/>
    <xf numFmtId="1" fontId="7" fillId="0" borderId="11" xfId="0" applyNumberFormat="1" applyFont="1" applyBorder="1"/>
    <xf numFmtId="1" fontId="7" fillId="0" borderId="1" xfId="0" applyNumberFormat="1" applyFont="1" applyBorder="1" applyAlignment="1">
      <alignment wrapText="1"/>
    </xf>
    <xf numFmtId="1" fontId="7" fillId="0" borderId="7" xfId="0" applyNumberFormat="1" applyFont="1" applyBorder="1" applyAlignment="1">
      <alignment wrapText="1"/>
    </xf>
    <xf numFmtId="1" fontId="6" fillId="0" borderId="96" xfId="0" applyNumberFormat="1" applyFont="1" applyBorder="1" applyAlignment="1">
      <alignment horizontal="left" vertical="center" wrapText="1"/>
    </xf>
    <xf numFmtId="1" fontId="6" fillId="0" borderId="85" xfId="0" applyNumberFormat="1" applyFont="1" applyBorder="1" applyAlignment="1">
      <alignment horizontal="center" vertical="center" wrapText="1"/>
    </xf>
    <xf numFmtId="1" fontId="6" fillId="0" borderId="92" xfId="0" applyNumberFormat="1" applyFont="1" applyBorder="1" applyAlignment="1">
      <alignment horizontal="center" vertical="center" wrapText="1"/>
    </xf>
    <xf numFmtId="1" fontId="6" fillId="0" borderId="135" xfId="0" applyNumberFormat="1" applyFont="1" applyBorder="1" applyAlignment="1">
      <alignment horizontal="center" vertical="center" wrapText="1"/>
    </xf>
    <xf numFmtId="1" fontId="6" fillId="0" borderId="126" xfId="0" applyNumberFormat="1" applyFont="1" applyBorder="1" applyAlignment="1">
      <alignment horizontal="center" vertical="center" wrapText="1"/>
    </xf>
    <xf numFmtId="1" fontId="6" fillId="0" borderId="136" xfId="0" applyNumberFormat="1" applyFont="1" applyBorder="1" applyAlignment="1">
      <alignment horizontal="center" vertical="center" wrapText="1"/>
    </xf>
    <xf numFmtId="1" fontId="6" fillId="0" borderId="98" xfId="0" applyNumberFormat="1" applyFont="1" applyBorder="1" applyAlignment="1">
      <alignment horizontal="center" vertical="center" wrapText="1"/>
    </xf>
    <xf numFmtId="1" fontId="6" fillId="0" borderId="104" xfId="0" applyNumberFormat="1" applyFont="1" applyBorder="1" applyAlignment="1">
      <alignment horizontal="center" vertical="center" wrapText="1"/>
    </xf>
    <xf numFmtId="1" fontId="6" fillId="0" borderId="112" xfId="0" applyNumberFormat="1" applyFont="1" applyBorder="1" applyAlignment="1">
      <alignment horizontal="center" vertical="center" wrapText="1"/>
    </xf>
    <xf numFmtId="1" fontId="6" fillId="0" borderId="116" xfId="0" applyNumberFormat="1" applyFont="1" applyBorder="1" applyAlignment="1">
      <alignment horizontal="center" vertical="center" wrapText="1"/>
    </xf>
    <xf numFmtId="1" fontId="6" fillId="0" borderId="92" xfId="0" applyNumberFormat="1" applyFont="1" applyBorder="1" applyAlignment="1">
      <alignment horizontal="center" vertical="center"/>
    </xf>
    <xf numFmtId="1" fontId="6" fillId="0" borderId="122" xfId="0" applyNumberFormat="1" applyFont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center" vertical="center" wrapText="1"/>
    </xf>
    <xf numFmtId="1" fontId="2" fillId="2" borderId="16" xfId="0" applyNumberFormat="1" applyFont="1" applyFill="1" applyBorder="1" applyAlignment="1">
      <alignment horizontal="center" vertical="center" wrapText="1"/>
    </xf>
    <xf numFmtId="1" fontId="2" fillId="2" borderId="15" xfId="0" applyNumberFormat="1" applyFont="1" applyFill="1" applyBorder="1" applyAlignment="1">
      <alignment horizontal="center" vertical="center" wrapText="1"/>
    </xf>
    <xf numFmtId="1" fontId="2" fillId="2" borderId="84" xfId="4" quotePrefix="1" applyNumberFormat="1" applyFont="1" applyFill="1" applyBorder="1" applyAlignment="1" applyProtection="1">
      <alignment horizontal="left" vertical="center" wrapText="1"/>
      <protection hidden="1"/>
    </xf>
    <xf numFmtId="1" fontId="2" fillId="2" borderId="87" xfId="4" applyNumberFormat="1" applyFont="1" applyFill="1" applyBorder="1" applyAlignment="1" applyProtection="1">
      <alignment horizontal="left" vertical="center" wrapText="1"/>
      <protection hidden="1"/>
    </xf>
    <xf numFmtId="1" fontId="2" fillId="16" borderId="87" xfId="4" applyNumberFormat="1" applyFont="1" applyFill="1" applyBorder="1" applyAlignment="1" applyProtection="1">
      <alignment vertical="center" wrapText="1"/>
      <protection hidden="1"/>
    </xf>
    <xf numFmtId="1" fontId="2" fillId="16" borderId="4" xfId="4" applyNumberFormat="1" applyFont="1" applyFill="1" applyBorder="1" applyAlignment="1" applyProtection="1">
      <alignment vertical="center" wrapText="1"/>
      <protection hidden="1"/>
    </xf>
    <xf numFmtId="1" fontId="2" fillId="2" borderId="87" xfId="0" applyNumberFormat="1" applyFont="1" applyFill="1" applyBorder="1" applyAlignment="1">
      <alignment horizontal="center" vertical="center" wrapText="1"/>
    </xf>
    <xf numFmtId="1" fontId="2" fillId="2" borderId="89" xfId="0" applyNumberFormat="1" applyFont="1" applyFill="1" applyBorder="1" applyAlignment="1">
      <alignment horizontal="center" vertical="center" wrapText="1"/>
    </xf>
    <xf numFmtId="1" fontId="4" fillId="2" borderId="81" xfId="3" applyNumberFormat="1" applyFont="1" applyFill="1" applyBorder="1" applyAlignment="1" applyProtection="1">
      <alignment horizontal="left" vertical="center" wrapText="1"/>
      <protection hidden="1"/>
    </xf>
    <xf numFmtId="1" fontId="4" fillId="2" borderId="94" xfId="3" applyNumberFormat="1" applyFont="1" applyFill="1" applyBorder="1" applyAlignment="1" applyProtection="1">
      <alignment horizontal="left" vertical="center" wrapText="1"/>
      <protection hidden="1"/>
    </xf>
    <xf numFmtId="1" fontId="6" fillId="0" borderId="85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2" fillId="0" borderId="14" xfId="0" applyNumberFormat="1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 wrapText="1"/>
    </xf>
    <xf numFmtId="1" fontId="2" fillId="2" borderId="9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1" fontId="6" fillId="0" borderId="7" xfId="0" applyNumberFormat="1" applyFont="1" applyBorder="1" applyAlignment="1">
      <alignment horizontal="center" vertical="center" wrapText="1"/>
    </xf>
    <xf numFmtId="1" fontId="6" fillId="0" borderId="16" xfId="0" applyNumberFormat="1" applyFont="1" applyBorder="1" applyAlignment="1">
      <alignment horizontal="center" vertical="center" wrapText="1"/>
    </xf>
    <xf numFmtId="1" fontId="6" fillId="0" borderId="14" xfId="0" applyNumberFormat="1" applyFont="1" applyBorder="1" applyAlignment="1">
      <alignment horizontal="center" vertical="center" wrapText="1"/>
    </xf>
    <xf numFmtId="1" fontId="6" fillId="0" borderId="84" xfId="0" applyNumberFormat="1" applyFont="1" applyBorder="1" applyAlignment="1">
      <alignment horizontal="center" vertical="center"/>
    </xf>
    <xf numFmtId="1" fontId="6" fillId="0" borderId="86" xfId="0" applyNumberFormat="1" applyFont="1" applyBorder="1" applyAlignment="1">
      <alignment horizontal="center" vertical="center"/>
    </xf>
    <xf numFmtId="1" fontId="2" fillId="0" borderId="84" xfId="4" applyNumberFormat="1" applyFont="1" applyBorder="1" applyAlignment="1" applyProtection="1">
      <alignment horizontal="center" vertical="center" wrapText="1"/>
      <protection hidden="1"/>
    </xf>
    <xf numFmtId="1" fontId="2" fillId="0" borderId="87" xfId="4" applyNumberFormat="1" applyFont="1" applyBorder="1" applyAlignment="1" applyProtection="1">
      <alignment horizontal="center" vertical="center" wrapText="1"/>
      <protection hidden="1"/>
    </xf>
    <xf numFmtId="1" fontId="2" fillId="0" borderId="87" xfId="4" quotePrefix="1" applyNumberFormat="1" applyFont="1" applyBorder="1" applyAlignment="1" applyProtection="1">
      <alignment horizontal="center" vertical="center" wrapText="1"/>
      <protection hidden="1"/>
    </xf>
    <xf numFmtId="1" fontId="2" fillId="0" borderId="89" xfId="4" applyNumberFormat="1" applyFont="1" applyBorder="1" applyAlignment="1" applyProtection="1">
      <alignment horizontal="center" vertical="center" wrapText="1"/>
      <protection hidden="1"/>
    </xf>
    <xf numFmtId="1" fontId="2" fillId="0" borderId="87" xfId="0" applyNumberFormat="1" applyFont="1" applyBorder="1" applyAlignment="1">
      <alignment horizontal="center" vertical="center" wrapText="1"/>
    </xf>
    <xf numFmtId="1" fontId="2" fillId="0" borderId="89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1" fontId="2" fillId="2" borderId="3" xfId="4" applyNumberFormat="1" applyFont="1" applyFill="1" applyBorder="1" applyAlignment="1" applyProtection="1">
      <alignment horizontal="left" vertical="center" wrapText="1"/>
      <protection hidden="1"/>
    </xf>
    <xf numFmtId="1" fontId="2" fillId="2" borderId="4" xfId="4" applyNumberFormat="1" applyFont="1" applyFill="1" applyBorder="1" applyAlignment="1" applyProtection="1">
      <alignment horizontal="left" vertical="center" wrapText="1"/>
      <protection hidden="1"/>
    </xf>
    <xf numFmtId="1" fontId="2" fillId="2" borderId="3" xfId="0" applyNumberFormat="1" applyFont="1" applyFill="1" applyBorder="1" applyAlignment="1">
      <alignment wrapText="1"/>
    </xf>
    <xf numFmtId="1" fontId="2" fillId="2" borderId="4" xfId="0" applyNumberFormat="1" applyFont="1" applyFill="1" applyBorder="1" applyAlignment="1">
      <alignment wrapText="1"/>
    </xf>
    <xf numFmtId="1" fontId="2" fillId="2" borderId="3" xfId="4" applyNumberFormat="1" applyFont="1" applyFill="1" applyBorder="1" applyAlignment="1" applyProtection="1">
      <alignment vertical="center" wrapText="1"/>
      <protection hidden="1"/>
    </xf>
    <xf numFmtId="1" fontId="2" fillId="2" borderId="4" xfId="4" applyNumberFormat="1" applyFont="1" applyFill="1" applyBorder="1" applyAlignment="1" applyProtection="1">
      <alignment vertical="center" wrapText="1"/>
      <protection hidden="1"/>
    </xf>
    <xf numFmtId="1" fontId="2" fillId="6" borderId="3" xfId="4" applyNumberFormat="1" applyFont="1" applyFill="1" applyBorder="1" applyAlignment="1" applyProtection="1">
      <alignment vertical="center" wrapText="1"/>
      <protection hidden="1"/>
    </xf>
    <xf numFmtId="1" fontId="2" fillId="6" borderId="4" xfId="4" applyNumberFormat="1" applyFont="1" applyFill="1" applyBorder="1" applyAlignment="1" applyProtection="1">
      <alignment vertical="center" wrapText="1"/>
      <protection hidden="1"/>
    </xf>
    <xf numFmtId="1" fontId="2" fillId="0" borderId="3" xfId="4" applyNumberFormat="1" applyFont="1" applyBorder="1" applyAlignment="1" applyProtection="1">
      <alignment horizontal="center" vertical="center" wrapText="1"/>
      <protection hidden="1"/>
    </xf>
    <xf numFmtId="1" fontId="2" fillId="0" borderId="6" xfId="4" applyNumberFormat="1" applyFont="1" applyBorder="1" applyAlignment="1" applyProtection="1">
      <alignment horizontal="center" vertical="center" wrapText="1"/>
      <protection hidden="1"/>
    </xf>
    <xf numFmtId="1" fontId="2" fillId="0" borderId="22" xfId="4" applyNumberFormat="1" applyFont="1" applyBorder="1" applyAlignment="1" applyProtection="1">
      <alignment horizontal="center" vertical="center" wrapText="1"/>
      <protection hidden="1"/>
    </xf>
    <xf numFmtId="1" fontId="2" fillId="2" borderId="5" xfId="0" applyNumberFormat="1" applyFont="1" applyFill="1" applyBorder="1" applyAlignment="1">
      <alignment horizontal="center" vertical="center" wrapText="1"/>
    </xf>
    <xf numFmtId="1" fontId="2" fillId="2" borderId="12" xfId="0" applyNumberFormat="1" applyFont="1" applyFill="1" applyBorder="1" applyAlignment="1">
      <alignment horizontal="center" vertical="center" wrapText="1"/>
    </xf>
    <xf numFmtId="1" fontId="2" fillId="2" borderId="21" xfId="0" applyNumberFormat="1" applyFont="1" applyFill="1" applyBorder="1" applyAlignment="1">
      <alignment horizontal="center" vertical="center" wrapText="1"/>
    </xf>
    <xf numFmtId="1" fontId="2" fillId="2" borderId="6" xfId="0" applyNumberFormat="1" applyFont="1" applyFill="1" applyBorder="1" applyAlignment="1">
      <alignment horizontal="center" vertical="center" wrapText="1"/>
    </xf>
    <xf numFmtId="1" fontId="2" fillId="2" borderId="13" xfId="0" applyNumberFormat="1" applyFont="1" applyFill="1" applyBorder="1" applyAlignment="1">
      <alignment horizontal="center" vertical="center" wrapText="1"/>
    </xf>
    <xf numFmtId="1" fontId="2" fillId="2" borderId="22" xfId="0" applyNumberFormat="1" applyFont="1" applyFill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1" fontId="2" fillId="0" borderId="10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1" fontId="2" fillId="0" borderId="16" xfId="0" applyNumberFormat="1" applyFont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 wrapText="1"/>
    </xf>
    <xf numFmtId="1" fontId="2" fillId="0" borderId="13" xfId="0" applyNumberFormat="1" applyFont="1" applyBorder="1" applyAlignment="1">
      <alignment horizontal="center" vertical="center" wrapText="1"/>
    </xf>
    <xf numFmtId="1" fontId="2" fillId="0" borderId="4" xfId="1" applyNumberFormat="1" applyFont="1" applyBorder="1" applyAlignment="1">
      <alignment horizontal="center" vertical="center" wrapText="1"/>
    </xf>
    <xf numFmtId="1" fontId="2" fillId="0" borderId="10" xfId="1" applyNumberFormat="1" applyFont="1" applyBorder="1" applyAlignment="1">
      <alignment horizontal="center" vertical="center" wrapText="1"/>
    </xf>
    <xf numFmtId="1" fontId="2" fillId="0" borderId="4" xfId="2" applyNumberFormat="1" applyFont="1" applyBorder="1" applyAlignment="1" applyProtection="1">
      <alignment horizontal="center" vertical="center"/>
      <protection hidden="1"/>
    </xf>
    <xf numFmtId="1" fontId="2" fillId="0" borderId="11" xfId="2" applyNumberFormat="1" applyFont="1" applyBorder="1" applyAlignment="1" applyProtection="1">
      <alignment horizontal="center" vertical="center"/>
      <protection hidden="1"/>
    </xf>
    <xf numFmtId="1" fontId="4" fillId="0" borderId="4" xfId="3" applyNumberFormat="1" applyFont="1" applyBorder="1" applyAlignment="1" applyProtection="1">
      <alignment horizontal="left" vertical="center" wrapText="1"/>
      <protection hidden="1"/>
    </xf>
    <xf numFmtId="1" fontId="2" fillId="0" borderId="10" xfId="0" applyNumberFormat="1" applyFont="1" applyBorder="1" applyAlignment="1">
      <alignment horizontal="left" wrapText="1"/>
    </xf>
    <xf numFmtId="1" fontId="2" fillId="0" borderId="11" xfId="0" applyNumberFormat="1" applyFont="1" applyBorder="1" applyAlignment="1">
      <alignment horizontal="left" wrapText="1"/>
    </xf>
    <xf numFmtId="1" fontId="2" fillId="0" borderId="24" xfId="4" quotePrefix="1" applyNumberFormat="1" applyFont="1" applyBorder="1" applyAlignment="1" applyProtection="1">
      <alignment horizontal="left" vertical="center" wrapText="1"/>
      <protection hidden="1"/>
    </xf>
    <xf numFmtId="1" fontId="2" fillId="0" borderId="35" xfId="4" applyNumberFormat="1" applyFont="1" applyBorder="1" applyAlignment="1" applyProtection="1">
      <alignment horizontal="left" vertical="center" wrapText="1"/>
      <protection hidden="1"/>
    </xf>
    <xf numFmtId="1" fontId="2" fillId="0" borderId="3" xfId="4" applyNumberFormat="1" applyFont="1" applyBorder="1" applyAlignment="1" applyProtection="1">
      <alignment vertical="center" wrapText="1"/>
      <protection hidden="1"/>
    </xf>
    <xf numFmtId="1" fontId="2" fillId="0" borderId="22" xfId="4" applyNumberFormat="1" applyFont="1" applyBorder="1" applyAlignment="1" applyProtection="1">
      <alignment vertical="center" wrapText="1"/>
      <protection hidden="1"/>
    </xf>
    <xf numFmtId="1" fontId="2" fillId="0" borderId="10" xfId="0" applyNumberFormat="1" applyFont="1" applyBorder="1" applyAlignment="1">
      <alignment horizontal="center" vertical="center"/>
    </xf>
    <xf numFmtId="1" fontId="4" fillId="0" borderId="10" xfId="3" applyNumberFormat="1" applyFont="1" applyBorder="1" applyAlignment="1" applyProtection="1">
      <alignment horizontal="left" vertical="center" wrapText="1"/>
      <protection hidden="1"/>
    </xf>
    <xf numFmtId="1" fontId="2" fillId="0" borderId="25" xfId="4" applyNumberFormat="1" applyFont="1" applyBorder="1" applyAlignment="1" applyProtection="1">
      <alignment horizontal="center" vertical="center" wrapText="1"/>
      <protection hidden="1"/>
    </xf>
    <xf numFmtId="1" fontId="2" fillId="0" borderId="54" xfId="4" applyNumberFormat="1" applyFont="1" applyBorder="1" applyAlignment="1" applyProtection="1">
      <alignment horizontal="center" vertical="center" wrapText="1"/>
      <protection hidden="1"/>
    </xf>
    <xf numFmtId="1" fontId="2" fillId="0" borderId="60" xfId="4" quotePrefix="1" applyNumberFormat="1" applyFont="1" applyBorder="1" applyAlignment="1" applyProtection="1">
      <alignment horizontal="center" vertical="center" wrapText="1"/>
      <protection hidden="1"/>
    </xf>
    <xf numFmtId="1" fontId="2" fillId="0" borderId="36" xfId="4" applyNumberFormat="1" applyFont="1" applyBorder="1" applyAlignment="1" applyProtection="1">
      <alignment horizontal="center" vertical="center" wrapText="1"/>
      <protection hidden="1"/>
    </xf>
    <xf numFmtId="1" fontId="2" fillId="0" borderId="60" xfId="4" applyNumberFormat="1" applyFont="1" applyBorder="1" applyAlignment="1" applyProtection="1">
      <alignment horizontal="center" vertical="center" wrapText="1"/>
      <protection hidden="1"/>
    </xf>
    <xf numFmtId="1" fontId="2" fillId="0" borderId="70" xfId="4" applyNumberFormat="1" applyFont="1" applyBorder="1" applyAlignment="1" applyProtection="1">
      <alignment horizontal="center" vertical="center" wrapText="1"/>
      <protection hidden="1"/>
    </xf>
    <xf numFmtId="1" fontId="2" fillId="0" borderId="1" xfId="4" applyNumberFormat="1" applyFont="1" applyBorder="1" applyAlignment="1" applyProtection="1">
      <alignment horizontal="center" vertical="center" wrapText="1"/>
      <protection hidden="1"/>
    </xf>
    <xf numFmtId="1" fontId="2" fillId="0" borderId="8" xfId="0" applyNumberFormat="1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1" fontId="2" fillId="0" borderId="43" xfId="4" applyNumberFormat="1" applyFont="1" applyBorder="1" applyAlignment="1" applyProtection="1">
      <alignment horizontal="left" vertical="center" wrapText="1"/>
      <protection hidden="1"/>
    </xf>
    <xf numFmtId="1" fontId="2" fillId="0" borderId="73" xfId="0" applyNumberFormat="1" applyFont="1" applyBorder="1" applyAlignment="1">
      <alignment wrapText="1"/>
    </xf>
    <xf numFmtId="1" fontId="2" fillId="0" borderId="55" xfId="0" applyNumberFormat="1" applyFont="1" applyBorder="1" applyAlignment="1">
      <alignment wrapText="1"/>
    </xf>
    <xf numFmtId="1" fontId="2" fillId="0" borderId="60" xfId="4" applyNumberFormat="1" applyFont="1" applyBorder="1" applyAlignment="1" applyProtection="1">
      <alignment vertical="center" wrapText="1"/>
      <protection hidden="1"/>
    </xf>
    <xf numFmtId="1" fontId="2" fillId="0" borderId="36" xfId="4" applyNumberFormat="1" applyFont="1" applyBorder="1" applyAlignment="1" applyProtection="1">
      <alignment vertical="center" wrapText="1"/>
      <protection hidden="1"/>
    </xf>
    <xf numFmtId="1" fontId="2" fillId="0" borderId="2" xfId="4" applyNumberFormat="1" applyFont="1" applyBorder="1" applyAlignment="1" applyProtection="1">
      <alignment horizontal="center" vertical="center" wrapText="1"/>
      <protection hidden="1"/>
    </xf>
    <xf numFmtId="1" fontId="2" fillId="0" borderId="9" xfId="4" applyNumberFormat="1" applyFont="1" applyBorder="1" applyAlignment="1" applyProtection="1">
      <alignment horizontal="center" vertical="center" wrapText="1"/>
      <protection hidden="1"/>
    </xf>
    <xf numFmtId="1" fontId="2" fillId="0" borderId="15" xfId="4" applyNumberFormat="1" applyFont="1" applyBorder="1" applyAlignment="1" applyProtection="1">
      <alignment horizontal="center" vertical="center" wrapText="1"/>
      <protection hidden="1"/>
    </xf>
    <xf numFmtId="1" fontId="9" fillId="15" borderId="1" xfId="4" applyNumberFormat="1" applyFont="1" applyFill="1" applyBorder="1" applyAlignment="1" applyProtection="1">
      <alignment horizontal="center" vertical="center" wrapText="1"/>
      <protection hidden="1"/>
    </xf>
    <xf numFmtId="1" fontId="9" fillId="15" borderId="7" xfId="4" applyNumberFormat="1" applyFont="1" applyFill="1" applyBorder="1" applyAlignment="1" applyProtection="1">
      <alignment horizontal="center" vertical="center" wrapText="1"/>
      <protection hidden="1"/>
    </xf>
    <xf numFmtId="1" fontId="9" fillId="15" borderId="8" xfId="4" applyNumberFormat="1" applyFont="1" applyFill="1" applyBorder="1" applyAlignment="1" applyProtection="1">
      <alignment horizontal="center" vertical="center" wrapText="1"/>
      <protection hidden="1"/>
    </xf>
    <xf numFmtId="1" fontId="9" fillId="15" borderId="0" xfId="4" applyNumberFormat="1" applyFont="1" applyFill="1" applyAlignment="1" applyProtection="1">
      <alignment horizontal="center" vertical="center" wrapText="1"/>
      <protection hidden="1"/>
    </xf>
    <xf numFmtId="1" fontId="9" fillId="15" borderId="16" xfId="4" applyNumberFormat="1" applyFont="1" applyFill="1" applyBorder="1" applyAlignment="1" applyProtection="1">
      <alignment horizontal="center" vertical="center" wrapText="1"/>
      <protection hidden="1"/>
    </xf>
    <xf numFmtId="1" fontId="9" fillId="15" borderId="14" xfId="4" applyNumberFormat="1" applyFont="1" applyFill="1" applyBorder="1" applyAlignment="1" applyProtection="1">
      <alignment horizontal="center" vertical="center" wrapText="1"/>
      <protection hidden="1"/>
    </xf>
    <xf numFmtId="1" fontId="5" fillId="5" borderId="1" xfId="0" applyNumberFormat="1" applyFont="1" applyFill="1" applyBorder="1" applyAlignment="1">
      <alignment horizontal="center" vertical="center"/>
    </xf>
    <xf numFmtId="1" fontId="5" fillId="5" borderId="2" xfId="0" applyNumberFormat="1" applyFont="1" applyFill="1" applyBorder="1" applyAlignment="1">
      <alignment horizontal="center" vertical="center"/>
    </xf>
    <xf numFmtId="1" fontId="5" fillId="5" borderId="8" xfId="0" applyNumberFormat="1" applyFont="1" applyFill="1" applyBorder="1" applyAlignment="1">
      <alignment horizontal="center" vertical="center"/>
    </xf>
    <xf numFmtId="1" fontId="5" fillId="5" borderId="9" xfId="0" applyNumberFormat="1" applyFont="1" applyFill="1" applyBorder="1" applyAlignment="1">
      <alignment horizontal="center" vertical="center"/>
    </xf>
    <xf numFmtId="1" fontId="5" fillId="5" borderId="16" xfId="0" applyNumberFormat="1" applyFont="1" applyFill="1" applyBorder="1" applyAlignment="1">
      <alignment horizontal="center" vertical="center"/>
    </xf>
    <xf numFmtId="1" fontId="5" fillId="5" borderId="15" xfId="0" applyNumberFormat="1" applyFont="1" applyFill="1" applyBorder="1" applyAlignment="1">
      <alignment horizontal="center" vertical="center"/>
    </xf>
    <xf numFmtId="1" fontId="4" fillId="2" borderId="82" xfId="3" applyNumberFormat="1" applyFont="1" applyFill="1" applyBorder="1" applyAlignment="1" applyProtection="1">
      <alignment horizontal="left" vertical="center" wrapText="1"/>
      <protection hidden="1"/>
    </xf>
    <xf numFmtId="1" fontId="2" fillId="15" borderId="117" xfId="4" applyNumberFormat="1" applyFont="1" applyFill="1" applyBorder="1" applyAlignment="1" applyProtection="1">
      <alignment horizontal="center" vertical="center" wrapText="1"/>
      <protection hidden="1"/>
    </xf>
    <xf numFmtId="1" fontId="2" fillId="15" borderId="141" xfId="4" applyNumberFormat="1" applyFont="1" applyFill="1" applyBorder="1" applyAlignment="1" applyProtection="1">
      <alignment horizontal="center" vertical="center" wrapText="1"/>
      <protection hidden="1"/>
    </xf>
    <xf numFmtId="1" fontId="2" fillId="15" borderId="118" xfId="4" applyNumberFormat="1" applyFont="1" applyFill="1" applyBorder="1" applyAlignment="1" applyProtection="1">
      <alignment horizontal="center" vertical="center" wrapText="1"/>
      <protection hidden="1"/>
    </xf>
    <xf numFmtId="1" fontId="2" fillId="15" borderId="9" xfId="4" applyNumberFormat="1" applyFont="1" applyFill="1" applyBorder="1" applyAlignment="1" applyProtection="1">
      <alignment horizontal="center" vertical="center" wrapText="1"/>
      <protection hidden="1"/>
    </xf>
    <xf numFmtId="1" fontId="2" fillId="15" borderId="119" xfId="4" applyNumberFormat="1" applyFont="1" applyFill="1" applyBorder="1" applyAlignment="1" applyProtection="1">
      <alignment horizontal="center" vertical="center" wrapText="1"/>
      <protection hidden="1"/>
    </xf>
    <xf numFmtId="1" fontId="2" fillId="15" borderId="130" xfId="4" applyNumberFormat="1" applyFont="1" applyFill="1" applyBorder="1" applyAlignment="1" applyProtection="1">
      <alignment horizontal="center" vertical="center" wrapText="1"/>
      <protection hidden="1"/>
    </xf>
    <xf numFmtId="1" fontId="4" fillId="0" borderId="3" xfId="3" applyNumberFormat="1" applyFont="1" applyBorder="1" applyAlignment="1" applyProtection="1">
      <alignment horizontal="left" vertical="center" wrapText="1"/>
      <protection hidden="1"/>
    </xf>
    <xf numFmtId="1" fontId="2" fillId="0" borderId="3" xfId="0" applyNumberFormat="1" applyFont="1" applyBorder="1" applyAlignment="1">
      <alignment horizontal="left" wrapText="1"/>
    </xf>
    <xf numFmtId="1" fontId="4" fillId="0" borderId="6" xfId="3" applyNumberFormat="1" applyFont="1" applyBorder="1" applyAlignment="1" applyProtection="1">
      <alignment horizontal="left" vertical="center" wrapText="1"/>
      <protection hidden="1"/>
    </xf>
    <xf numFmtId="1" fontId="2" fillId="0" borderId="6" xfId="0" applyNumberFormat="1" applyFont="1" applyBorder="1" applyAlignment="1">
      <alignment horizontal="left" wrapText="1"/>
    </xf>
    <xf numFmtId="1" fontId="2" fillId="2" borderId="87" xfId="4" applyNumberFormat="1" applyFont="1" applyFill="1" applyBorder="1" applyAlignment="1" applyProtection="1">
      <alignment vertical="center" wrapText="1"/>
      <protection hidden="1"/>
    </xf>
    <xf numFmtId="1" fontId="6" fillId="0" borderId="6" xfId="0" applyNumberFormat="1" applyFont="1" applyBorder="1" applyAlignment="1">
      <alignment horizontal="center" vertical="center" wrapText="1"/>
    </xf>
    <xf numFmtId="1" fontId="6" fillId="0" borderId="22" xfId="0" applyNumberFormat="1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 wrapText="1"/>
    </xf>
    <xf numFmtId="1" fontId="6" fillId="0" borderId="10" xfId="0" applyNumberFormat="1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10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 wrapText="1"/>
    </xf>
    <xf numFmtId="1" fontId="6" fillId="0" borderId="23" xfId="0" applyNumberFormat="1" applyFont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 wrapText="1"/>
    </xf>
    <xf numFmtId="1" fontId="6" fillId="0" borderId="142" xfId="0" applyNumberFormat="1" applyFont="1" applyBorder="1" applyAlignment="1">
      <alignment horizontal="center" vertical="center" wrapText="1"/>
    </xf>
    <xf numFmtId="1" fontId="6" fillId="0" borderId="72" xfId="0" applyNumberFormat="1" applyFont="1" applyBorder="1" applyAlignment="1">
      <alignment horizontal="center" vertical="center" wrapText="1"/>
    </xf>
    <xf numFmtId="1" fontId="6" fillId="0" borderId="25" xfId="0" applyNumberFormat="1" applyFont="1" applyBorder="1" applyAlignment="1">
      <alignment horizontal="center" vertical="center" wrapText="1"/>
    </xf>
    <xf numFmtId="1" fontId="6" fillId="0" borderId="143" xfId="0" applyNumberFormat="1" applyFont="1" applyBorder="1" applyAlignment="1">
      <alignment horizontal="center" vertical="center" wrapText="1"/>
    </xf>
    <xf numFmtId="1" fontId="6" fillId="0" borderId="15" xfId="0" applyNumberFormat="1" applyFont="1" applyBorder="1" applyAlignment="1">
      <alignment horizontal="center" vertical="center" wrapText="1"/>
    </xf>
    <xf numFmtId="1" fontId="6" fillId="0" borderId="17" xfId="0" applyNumberFormat="1" applyFont="1" applyBorder="1" applyAlignment="1">
      <alignment horizontal="center" vertical="center" wrapText="1"/>
    </xf>
    <xf numFmtId="1" fontId="6" fillId="0" borderId="14" xfId="0" applyNumberFormat="1" applyFont="1" applyBorder="1" applyAlignment="1">
      <alignment horizontal="center" vertical="center"/>
    </xf>
    <xf numFmtId="1" fontId="6" fillId="0" borderId="144" xfId="0" applyNumberFormat="1" applyFont="1" applyBorder="1" applyAlignment="1">
      <alignment horizontal="center" vertical="center" wrapText="1"/>
    </xf>
    <xf numFmtId="1" fontId="6" fillId="0" borderId="18" xfId="0" applyNumberFormat="1" applyFont="1" applyBorder="1" applyAlignment="1">
      <alignment horizontal="center" vertical="center" wrapText="1"/>
    </xf>
    <xf numFmtId="1" fontId="6" fillId="0" borderId="142" xfId="0" applyNumberFormat="1" applyFont="1" applyBorder="1" applyAlignment="1">
      <alignment horizontal="center" vertical="center" wrapText="1"/>
    </xf>
    <xf numFmtId="1" fontId="6" fillId="0" borderId="138" xfId="0" applyNumberFormat="1" applyFont="1" applyBorder="1" applyAlignment="1">
      <alignment horizontal="center" vertical="center" wrapText="1"/>
    </xf>
    <xf numFmtId="1" fontId="6" fillId="0" borderId="36" xfId="0" applyNumberFormat="1" applyFont="1" applyBorder="1" applyAlignment="1">
      <alignment horizontal="center" vertical="center" wrapText="1"/>
    </xf>
    <xf numFmtId="1" fontId="6" fillId="0" borderId="44" xfId="0" applyNumberFormat="1" applyFont="1" applyBorder="1" applyAlignment="1">
      <alignment horizontal="center" vertical="center" wrapText="1"/>
    </xf>
    <xf numFmtId="1" fontId="7" fillId="0" borderId="10" xfId="0" applyNumberFormat="1" applyFont="1" applyBorder="1"/>
    <xf numFmtId="1" fontId="6" fillId="0" borderId="17" xfId="0" applyNumberFormat="1" applyFont="1" applyBorder="1" applyAlignment="1">
      <alignment wrapText="1"/>
    </xf>
    <xf numFmtId="1" fontId="6" fillId="0" borderId="145" xfId="0" applyNumberFormat="1" applyFont="1" applyBorder="1" applyAlignment="1">
      <alignment wrapText="1"/>
    </xf>
    <xf numFmtId="1" fontId="6" fillId="0" borderId="9" xfId="0" applyNumberFormat="1" applyFont="1" applyBorder="1" applyAlignment="1">
      <alignment wrapText="1"/>
    </xf>
    <xf numFmtId="1" fontId="6" fillId="17" borderId="17" xfId="0" applyNumberFormat="1" applyFont="1" applyFill="1" applyBorder="1" applyProtection="1">
      <protection locked="0"/>
    </xf>
    <xf numFmtId="1" fontId="6" fillId="17" borderId="10" xfId="0" applyNumberFormat="1" applyFont="1" applyFill="1" applyBorder="1" applyProtection="1">
      <protection locked="0"/>
    </xf>
    <xf numFmtId="1" fontId="6" fillId="17" borderId="11" xfId="0" applyNumberFormat="1" applyFont="1" applyFill="1" applyBorder="1" applyProtection="1">
      <protection locked="0"/>
    </xf>
    <xf numFmtId="1" fontId="6" fillId="17" borderId="146" xfId="0" applyNumberFormat="1" applyFont="1" applyFill="1" applyBorder="1" applyProtection="1">
      <protection locked="0"/>
    </xf>
    <xf numFmtId="1" fontId="6" fillId="17" borderId="45" xfId="0" applyNumberFormat="1" applyFont="1" applyFill="1" applyBorder="1" applyProtection="1">
      <protection locked="0"/>
    </xf>
    <xf numFmtId="1" fontId="6" fillId="17" borderId="147" xfId="0" applyNumberFormat="1" applyFont="1" applyFill="1" applyBorder="1" applyProtection="1">
      <protection locked="0"/>
    </xf>
    <xf numFmtId="1" fontId="6" fillId="17" borderId="3" xfId="0" applyNumberFormat="1" applyFont="1" applyFill="1" applyBorder="1" applyProtection="1">
      <protection locked="0"/>
    </xf>
    <xf numFmtId="1" fontId="6" fillId="17" borderId="18" xfId="0" applyNumberFormat="1" applyFont="1" applyFill="1" applyBorder="1" applyProtection="1">
      <protection locked="0"/>
    </xf>
    <xf numFmtId="1" fontId="7" fillId="0" borderId="4" xfId="0" applyNumberFormat="1" applyFont="1" applyBorder="1" applyAlignment="1">
      <alignment wrapText="1"/>
    </xf>
    <xf numFmtId="1" fontId="7" fillId="0" borderId="10" xfId="0" applyNumberFormat="1" applyFont="1" applyBorder="1" applyAlignment="1">
      <alignment wrapText="1"/>
    </xf>
    <xf numFmtId="1" fontId="6" fillId="4" borderId="1" xfId="0" applyNumberFormat="1" applyFont="1" applyFill="1" applyBorder="1"/>
    <xf numFmtId="1" fontId="6" fillId="4" borderId="7" xfId="0" applyNumberFormat="1" applyFont="1" applyFill="1" applyBorder="1"/>
    <xf numFmtId="1" fontId="10" fillId="4" borderId="7" xfId="0" applyNumberFormat="1" applyFont="1" applyFill="1" applyBorder="1"/>
    <xf numFmtId="1" fontId="10" fillId="4" borderId="11" xfId="0" applyNumberFormat="1" applyFont="1" applyFill="1" applyBorder="1"/>
    <xf numFmtId="1" fontId="10" fillId="4" borderId="142" xfId="0" applyNumberFormat="1" applyFont="1" applyFill="1" applyBorder="1"/>
    <xf numFmtId="1" fontId="10" fillId="4" borderId="3" xfId="0" applyNumberFormat="1" applyFont="1" applyFill="1" applyBorder="1"/>
    <xf numFmtId="1" fontId="10" fillId="4" borderId="10" xfId="0" applyNumberFormat="1" applyFont="1" applyFill="1" applyBorder="1"/>
    <xf numFmtId="1" fontId="6" fillId="0" borderId="6" xfId="0" applyNumberFormat="1" applyFont="1" applyBorder="1" applyAlignment="1">
      <alignment horizontal="left" vertical="center" wrapText="1"/>
    </xf>
    <xf numFmtId="1" fontId="6" fillId="0" borderId="29" xfId="0" applyNumberFormat="1" applyFont="1" applyBorder="1" applyAlignment="1">
      <alignment wrapText="1"/>
    </xf>
    <xf numFmtId="1" fontId="6" fillId="0" borderId="148" xfId="0" applyNumberFormat="1" applyFont="1" applyBorder="1" applyAlignment="1">
      <alignment wrapText="1"/>
    </xf>
    <xf numFmtId="1" fontId="6" fillId="17" borderId="29" xfId="0" applyNumberFormat="1" applyFont="1" applyFill="1" applyBorder="1" applyProtection="1">
      <protection locked="0"/>
    </xf>
    <xf numFmtId="1" fontId="6" fillId="17" borderId="34" xfId="0" applyNumberFormat="1" applyFont="1" applyFill="1" applyBorder="1" applyProtection="1">
      <protection locked="0"/>
    </xf>
    <xf numFmtId="1" fontId="6" fillId="0" borderId="22" xfId="0" applyNumberFormat="1" applyFont="1" applyBorder="1" applyAlignment="1">
      <alignment horizontal="left" vertical="center" wrapText="1"/>
    </xf>
    <xf numFmtId="1" fontId="6" fillId="0" borderId="26" xfId="0" applyNumberFormat="1" applyFont="1" applyBorder="1" applyAlignment="1">
      <alignment wrapText="1"/>
    </xf>
    <xf numFmtId="1" fontId="6" fillId="0" borderId="149" xfId="0" applyNumberFormat="1" applyFont="1" applyBorder="1" applyAlignment="1">
      <alignment wrapText="1"/>
    </xf>
    <xf numFmtId="1" fontId="6" fillId="0" borderId="55" xfId="0" applyNumberFormat="1" applyFont="1" applyBorder="1" applyAlignment="1">
      <alignment wrapText="1"/>
    </xf>
    <xf numFmtId="1" fontId="6" fillId="17" borderId="26" xfId="0" applyNumberFormat="1" applyFont="1" applyFill="1" applyBorder="1" applyProtection="1">
      <protection locked="0"/>
    </xf>
    <xf numFmtId="1" fontId="6" fillId="17" borderId="55" xfId="0" applyNumberFormat="1" applyFont="1" applyFill="1" applyBorder="1" applyProtection="1">
      <protection locked="0"/>
    </xf>
    <xf numFmtId="1" fontId="6" fillId="17" borderId="80" xfId="0" applyNumberFormat="1" applyFont="1" applyFill="1" applyBorder="1" applyProtection="1">
      <protection locked="0"/>
    </xf>
    <xf numFmtId="1" fontId="6" fillId="17" borderId="150" xfId="0" applyNumberFormat="1" applyFont="1" applyFill="1" applyBorder="1" applyProtection="1">
      <protection locked="0"/>
    </xf>
    <xf numFmtId="1" fontId="6" fillId="17" borderId="27" xfId="0" applyNumberFormat="1" applyFont="1" applyFill="1" applyBorder="1" applyProtection="1">
      <protection locked="0"/>
    </xf>
    <xf numFmtId="1" fontId="6" fillId="17" borderId="151" xfId="0" applyNumberFormat="1" applyFont="1" applyFill="1" applyBorder="1" applyProtection="1">
      <protection locked="0"/>
    </xf>
    <xf numFmtId="1" fontId="6" fillId="17" borderId="14" xfId="0" applyNumberFormat="1" applyFont="1" applyFill="1" applyBorder="1" applyProtection="1">
      <protection locked="0"/>
    </xf>
    <xf numFmtId="1" fontId="6" fillId="17" borderId="22" xfId="0" applyNumberFormat="1" applyFont="1" applyFill="1" applyBorder="1" applyProtection="1">
      <protection locked="0"/>
    </xf>
    <xf numFmtId="1" fontId="6" fillId="17" borderId="15" xfId="0" applyNumberFormat="1" applyFont="1" applyFill="1" applyBorder="1" applyProtection="1">
      <protection locked="0"/>
    </xf>
    <xf numFmtId="1" fontId="6" fillId="17" borderId="72" xfId="0" applyNumberFormat="1" applyFont="1" applyFill="1" applyBorder="1" applyProtection="1">
      <protection locked="0"/>
    </xf>
    <xf numFmtId="1" fontId="6" fillId="17" borderId="152" xfId="0" applyNumberFormat="1" applyFont="1" applyFill="1" applyBorder="1" applyProtection="1">
      <protection locked="0"/>
    </xf>
    <xf numFmtId="1" fontId="6" fillId="17" borderId="33" xfId="0" applyNumberFormat="1" applyFont="1" applyFill="1" applyBorder="1" applyProtection="1">
      <protection locked="0"/>
    </xf>
    <xf numFmtId="1" fontId="6" fillId="17" borderId="153" xfId="0" applyNumberFormat="1" applyFont="1" applyFill="1" applyBorder="1" applyProtection="1">
      <protection locked="0"/>
    </xf>
    <xf numFmtId="1" fontId="6" fillId="17" borderId="25" xfId="0" applyNumberFormat="1" applyFont="1" applyFill="1" applyBorder="1" applyProtection="1">
      <protection locked="0"/>
    </xf>
    <xf numFmtId="1" fontId="6" fillId="0" borderId="37" xfId="0" applyNumberFormat="1" applyFont="1" applyBorder="1" applyAlignment="1">
      <alignment wrapText="1"/>
    </xf>
    <xf numFmtId="1" fontId="6" fillId="0" borderId="154" xfId="0" applyNumberFormat="1" applyFont="1" applyBorder="1" applyAlignment="1">
      <alignment wrapText="1"/>
    </xf>
    <xf numFmtId="1" fontId="6" fillId="17" borderId="37" xfId="0" applyNumberFormat="1" applyFont="1" applyFill="1" applyBorder="1" applyProtection="1">
      <protection locked="0"/>
    </xf>
    <xf numFmtId="1" fontId="6" fillId="17" borderId="43" xfId="0" applyNumberFormat="1" applyFont="1" applyFill="1" applyBorder="1" applyProtection="1">
      <protection locked="0"/>
    </xf>
    <xf numFmtId="1" fontId="6" fillId="17" borderId="64" xfId="0" applyNumberFormat="1" applyFont="1" applyFill="1" applyBorder="1" applyProtection="1">
      <protection locked="0"/>
    </xf>
    <xf numFmtId="1" fontId="6" fillId="17" borderId="71" xfId="0" applyNumberFormat="1" applyFont="1" applyFill="1" applyBorder="1" applyProtection="1">
      <protection locked="0"/>
    </xf>
    <xf numFmtId="1" fontId="6" fillId="4" borderId="4" xfId="0" applyNumberFormat="1" applyFont="1" applyFill="1" applyBorder="1" applyAlignment="1">
      <alignment wrapText="1"/>
    </xf>
    <xf numFmtId="1" fontId="6" fillId="4" borderId="10" xfId="0" applyNumberFormat="1" applyFont="1" applyFill="1" applyBorder="1" applyAlignment="1">
      <alignment wrapText="1"/>
    </xf>
    <xf numFmtId="1" fontId="6" fillId="4" borderId="18" xfId="0" applyNumberFormat="1" applyFont="1" applyFill="1" applyBorder="1" applyAlignment="1">
      <alignment wrapText="1"/>
    </xf>
    <xf numFmtId="1" fontId="6" fillId="4" borderId="145" xfId="0" applyNumberFormat="1" applyFont="1" applyFill="1" applyBorder="1" applyAlignment="1">
      <alignment wrapText="1"/>
    </xf>
    <xf numFmtId="1" fontId="6" fillId="4" borderId="10" xfId="0" applyNumberFormat="1" applyFont="1" applyFill="1" applyBorder="1" applyAlignment="1">
      <alignment wrapText="1"/>
    </xf>
    <xf numFmtId="1" fontId="6" fillId="12" borderId="17" xfId="0" applyNumberFormat="1" applyFont="1" applyFill="1" applyBorder="1"/>
    <xf numFmtId="1" fontId="6" fillId="4" borderId="10" xfId="0" applyNumberFormat="1" applyFont="1" applyFill="1" applyBorder="1"/>
    <xf numFmtId="1" fontId="6" fillId="4" borderId="17" xfId="0" applyNumberFormat="1" applyFont="1" applyFill="1" applyBorder="1"/>
    <xf numFmtId="1" fontId="6" fillId="4" borderId="29" xfId="0" applyNumberFormat="1" applyFont="1" applyFill="1" applyBorder="1"/>
    <xf numFmtId="1" fontId="6" fillId="4" borderId="72" xfId="0" applyNumberFormat="1" applyFont="1" applyFill="1" applyBorder="1"/>
    <xf numFmtId="1" fontId="6" fillId="4" borderId="152" xfId="0" applyNumberFormat="1" applyFont="1" applyFill="1" applyBorder="1"/>
    <xf numFmtId="1" fontId="6" fillId="4" borderId="33" xfId="0" applyNumberFormat="1" applyFont="1" applyFill="1" applyBorder="1"/>
    <xf numFmtId="1" fontId="6" fillId="4" borderId="153" xfId="0" applyNumberFormat="1" applyFont="1" applyFill="1" applyBorder="1"/>
    <xf numFmtId="1" fontId="6" fillId="4" borderId="11" xfId="0" applyNumberFormat="1" applyFont="1" applyFill="1" applyBorder="1"/>
    <xf numFmtId="1" fontId="6" fillId="4" borderId="3" xfId="0" applyNumberFormat="1" applyFont="1" applyFill="1" applyBorder="1"/>
    <xf numFmtId="1" fontId="6" fillId="4" borderId="18" xfId="0" applyNumberFormat="1" applyFont="1" applyFill="1" applyBorder="1"/>
    <xf numFmtId="1" fontId="6" fillId="4" borderId="34" xfId="0" applyNumberFormat="1" applyFont="1" applyFill="1" applyBorder="1"/>
    <xf numFmtId="1" fontId="6" fillId="0" borderId="74" xfId="0" applyNumberFormat="1" applyFont="1" applyBorder="1" applyAlignment="1">
      <alignment wrapText="1"/>
    </xf>
    <xf numFmtId="1" fontId="6" fillId="0" borderId="155" xfId="0" applyNumberFormat="1" applyFont="1" applyBorder="1" applyAlignment="1">
      <alignment wrapText="1"/>
    </xf>
    <xf numFmtId="1" fontId="6" fillId="4" borderId="74" xfId="0" applyNumberFormat="1" applyFont="1" applyFill="1" applyBorder="1"/>
    <xf numFmtId="1" fontId="6" fillId="4" borderId="9" xfId="0" applyNumberFormat="1" applyFont="1" applyFill="1" applyBorder="1"/>
    <xf numFmtId="1" fontId="6" fillId="17" borderId="74" xfId="0" applyNumberFormat="1" applyFont="1" applyFill="1" applyBorder="1" applyProtection="1">
      <protection locked="0"/>
    </xf>
    <xf numFmtId="1" fontId="6" fillId="17" borderId="9" xfId="0" applyNumberFormat="1" applyFont="1" applyFill="1" applyBorder="1" applyProtection="1">
      <protection locked="0"/>
    </xf>
    <xf numFmtId="1" fontId="6" fillId="17" borderId="44" xfId="0" applyNumberFormat="1" applyFont="1" applyFill="1" applyBorder="1" applyProtection="1">
      <protection locked="0"/>
    </xf>
    <xf numFmtId="1" fontId="6" fillId="0" borderId="17" xfId="0" applyNumberFormat="1" applyFont="1" applyBorder="1"/>
    <xf numFmtId="1" fontId="6" fillId="0" borderId="145" xfId="0" applyNumberFormat="1" applyFont="1" applyBorder="1"/>
    <xf numFmtId="1" fontId="6" fillId="0" borderId="10" xfId="0" applyNumberFormat="1" applyFont="1" applyBorder="1"/>
    <xf numFmtId="1" fontId="10" fillId="17" borderId="17" xfId="0" applyNumberFormat="1" applyFont="1" applyFill="1" applyBorder="1" applyProtection="1">
      <protection locked="0"/>
    </xf>
    <xf numFmtId="1" fontId="10" fillId="17" borderId="10" xfId="0" applyNumberFormat="1" applyFont="1" applyFill="1" applyBorder="1" applyProtection="1">
      <protection locked="0"/>
    </xf>
    <xf numFmtId="1" fontId="6" fillId="0" borderId="13" xfId="0" applyNumberFormat="1" applyFont="1" applyBorder="1" applyAlignment="1">
      <alignment horizontal="left" vertical="center" wrapText="1"/>
    </xf>
    <xf numFmtId="1" fontId="6" fillId="0" borderId="56" xfId="0" applyNumberFormat="1" applyFont="1" applyBorder="1" applyAlignment="1">
      <alignment wrapText="1"/>
    </xf>
    <xf numFmtId="1" fontId="6" fillId="0" borderId="156" xfId="0" applyNumberFormat="1" applyFont="1" applyBorder="1" applyAlignment="1">
      <alignment wrapText="1"/>
    </xf>
    <xf numFmtId="1" fontId="6" fillId="17" borderId="56" xfId="0" applyNumberFormat="1" applyFont="1" applyFill="1" applyBorder="1" applyProtection="1">
      <protection locked="0"/>
    </xf>
    <xf numFmtId="1" fontId="6" fillId="17" borderId="62" xfId="0" applyNumberFormat="1" applyFont="1" applyFill="1" applyBorder="1" applyProtection="1">
      <protection locked="0"/>
    </xf>
    <xf numFmtId="1" fontId="6" fillId="17" borderId="79" xfId="0" applyNumberFormat="1" applyFont="1" applyFill="1" applyBorder="1" applyProtection="1">
      <protection locked="0"/>
    </xf>
    <xf numFmtId="1" fontId="6" fillId="17" borderId="157" xfId="0" applyNumberFormat="1" applyFont="1" applyFill="1" applyBorder="1" applyProtection="1">
      <protection locked="0"/>
    </xf>
    <xf numFmtId="1" fontId="6" fillId="17" borderId="61" xfId="0" applyNumberFormat="1" applyFont="1" applyFill="1" applyBorder="1" applyProtection="1">
      <protection locked="0"/>
    </xf>
    <xf numFmtId="1" fontId="6" fillId="17" borderId="158" xfId="0" applyNumberFormat="1" applyFont="1" applyFill="1" applyBorder="1" applyProtection="1">
      <protection locked="0"/>
    </xf>
    <xf numFmtId="1" fontId="6" fillId="17" borderId="60" xfId="0" applyNumberFormat="1" applyFont="1" applyFill="1" applyBorder="1" applyProtection="1">
      <protection locked="0"/>
    </xf>
    <xf numFmtId="1" fontId="6" fillId="17" borderId="59" xfId="0" applyNumberFormat="1" applyFont="1" applyFill="1" applyBorder="1" applyProtection="1">
      <protection locked="0"/>
    </xf>
    <xf numFmtId="1" fontId="6" fillId="12" borderId="156" xfId="0" applyNumberFormat="1" applyFont="1" applyFill="1" applyBorder="1"/>
    <xf numFmtId="1" fontId="6" fillId="12" borderId="56" xfId="0" applyNumberFormat="1" applyFont="1" applyFill="1" applyBorder="1"/>
    <xf numFmtId="1" fontId="6" fillId="12" borderId="62" xfId="0" applyNumberFormat="1" applyFont="1" applyFill="1" applyBorder="1"/>
    <xf numFmtId="1" fontId="6" fillId="12" borderId="79" xfId="0" applyNumberFormat="1" applyFont="1" applyFill="1" applyBorder="1"/>
    <xf numFmtId="1" fontId="6" fillId="12" borderId="80" xfId="0" applyNumberFormat="1" applyFont="1" applyFill="1" applyBorder="1"/>
    <xf numFmtId="1" fontId="6" fillId="17" borderId="54" xfId="0" applyNumberFormat="1" applyFont="1" applyFill="1" applyBorder="1" applyProtection="1">
      <protection locked="0"/>
    </xf>
    <xf numFmtId="1" fontId="6" fillId="12" borderId="61" xfId="0" applyNumberFormat="1" applyFont="1" applyFill="1" applyBorder="1"/>
    <xf numFmtId="1" fontId="6" fillId="0" borderId="159" xfId="1" applyNumberFormat="1" applyFont="1" applyBorder="1" applyAlignment="1">
      <alignment wrapText="1"/>
    </xf>
    <xf numFmtId="1" fontId="6" fillId="0" borderId="64" xfId="0" applyNumberFormat="1" applyFont="1" applyBorder="1" applyAlignment="1">
      <alignment wrapText="1"/>
    </xf>
    <xf numFmtId="1" fontId="6" fillId="0" borderId="160" xfId="0" applyNumberFormat="1" applyFont="1" applyBorder="1" applyAlignment="1">
      <alignment wrapText="1"/>
    </xf>
    <xf numFmtId="1" fontId="6" fillId="12" borderId="64" xfId="0" applyNumberFormat="1" applyFont="1" applyFill="1" applyBorder="1"/>
    <xf numFmtId="1" fontId="6" fillId="12" borderId="71" xfId="0" applyNumberFormat="1" applyFont="1" applyFill="1" applyBorder="1"/>
    <xf numFmtId="1" fontId="6" fillId="17" borderId="159" xfId="0" applyNumberFormat="1" applyFont="1" applyFill="1" applyBorder="1" applyProtection="1">
      <protection locked="0"/>
    </xf>
    <xf numFmtId="1" fontId="6" fillId="17" borderId="161" xfId="0" applyNumberFormat="1" applyFont="1" applyFill="1" applyBorder="1" applyProtection="1">
      <protection locked="0"/>
    </xf>
    <xf numFmtId="1" fontId="6" fillId="17" borderId="38" xfId="0" applyNumberFormat="1" applyFont="1" applyFill="1" applyBorder="1" applyProtection="1">
      <protection locked="0"/>
    </xf>
    <xf numFmtId="1" fontId="6" fillId="17" borderId="70" xfId="0" applyNumberFormat="1" applyFont="1" applyFill="1" applyBorder="1" applyProtection="1">
      <protection locked="0"/>
    </xf>
    <xf numFmtId="1" fontId="6" fillId="17" borderId="65" xfId="0" applyNumberFormat="1" applyFont="1" applyFill="1" applyBorder="1" applyProtection="1">
      <protection locked="0"/>
    </xf>
    <xf numFmtId="1" fontId="6" fillId="0" borderId="72" xfId="0" applyNumberFormat="1" applyFont="1" applyBorder="1" applyAlignment="1">
      <alignment wrapText="1"/>
    </xf>
    <xf numFmtId="1" fontId="6" fillId="17" borderId="143" xfId="0" applyNumberFormat="1" applyFont="1" applyFill="1" applyBorder="1" applyProtection="1">
      <protection locked="0"/>
    </xf>
    <xf numFmtId="1" fontId="6" fillId="17" borderId="2" xfId="0" applyNumberFormat="1" applyFont="1" applyFill="1" applyBorder="1" applyProtection="1">
      <protection locked="0"/>
    </xf>
    <xf numFmtId="1" fontId="6" fillId="17" borderId="162" xfId="0" applyNumberFormat="1" applyFont="1" applyFill="1" applyBorder="1" applyProtection="1">
      <protection locked="0"/>
    </xf>
    <xf numFmtId="1" fontId="6" fillId="17" borderId="75" xfId="0" applyNumberFormat="1" applyFont="1" applyFill="1" applyBorder="1" applyProtection="1">
      <protection locked="0"/>
    </xf>
    <xf numFmtId="1" fontId="6" fillId="17" borderId="163" xfId="0" applyNumberFormat="1" applyFont="1" applyFill="1" applyBorder="1" applyProtection="1">
      <protection locked="0"/>
    </xf>
    <xf numFmtId="1" fontId="6" fillId="17" borderId="138" xfId="0" applyNumberFormat="1" applyFont="1" applyFill="1" applyBorder="1" applyProtection="1">
      <protection locked="0"/>
    </xf>
    <xf numFmtId="1" fontId="6" fillId="17" borderId="36" xfId="0" applyNumberFormat="1" applyFont="1" applyFill="1" applyBorder="1" applyProtection="1">
      <protection locked="0"/>
    </xf>
    <xf numFmtId="1" fontId="6" fillId="18" borderId="1" xfId="0" applyNumberFormat="1" applyFont="1" applyFill="1" applyBorder="1"/>
    <xf numFmtId="1" fontId="6" fillId="18" borderId="7" xfId="0" applyNumberFormat="1" applyFont="1" applyFill="1" applyBorder="1"/>
    <xf numFmtId="1" fontId="6" fillId="18" borderId="164" xfId="0" applyNumberFormat="1" applyFont="1" applyFill="1" applyBorder="1"/>
    <xf numFmtId="1" fontId="6" fillId="18" borderId="6" xfId="0" applyNumberFormat="1" applyFont="1" applyFill="1" applyBorder="1"/>
    <xf numFmtId="1" fontId="6" fillId="18" borderId="8" xfId="0" applyNumberFormat="1" applyFont="1" applyFill="1" applyBorder="1"/>
    <xf numFmtId="1" fontId="6" fillId="18" borderId="0" xfId="0" applyNumberFormat="1" applyFont="1" applyFill="1"/>
    <xf numFmtId="1" fontId="6" fillId="18" borderId="163" xfId="0" applyNumberFormat="1" applyFont="1" applyFill="1" applyBorder="1"/>
    <xf numFmtId="1" fontId="6" fillId="18" borderId="13" xfId="0" applyNumberFormat="1" applyFont="1" applyFill="1" applyBorder="1"/>
    <xf numFmtId="1" fontId="6" fillId="18" borderId="16" xfId="0" applyNumberFormat="1" applyFont="1" applyFill="1" applyBorder="1"/>
    <xf numFmtId="1" fontId="6" fillId="18" borderId="14" xfId="0" applyNumberFormat="1" applyFont="1" applyFill="1" applyBorder="1"/>
    <xf numFmtId="1" fontId="6" fillId="18" borderId="165" xfId="0" applyNumberFormat="1" applyFont="1" applyFill="1" applyBorder="1"/>
    <xf numFmtId="1" fontId="6" fillId="17" borderId="41" xfId="0" applyNumberFormat="1" applyFont="1" applyFill="1" applyBorder="1" applyProtection="1">
      <protection locked="0"/>
    </xf>
    <xf numFmtId="1" fontId="6" fillId="18" borderId="22" xfId="0" applyNumberFormat="1" applyFont="1" applyFill="1" applyBorder="1"/>
    <xf numFmtId="1" fontId="6" fillId="0" borderId="25" xfId="0" applyNumberFormat="1" applyFont="1" applyBorder="1" applyAlignment="1">
      <alignment wrapText="1"/>
    </xf>
    <xf numFmtId="1" fontId="6" fillId="17" borderId="31" xfId="0" applyNumberFormat="1" applyFont="1" applyFill="1" applyBorder="1" applyProtection="1">
      <protection locked="0"/>
    </xf>
    <xf numFmtId="1" fontId="6" fillId="17" borderId="148" xfId="0" applyNumberFormat="1" applyFont="1" applyFill="1" applyBorder="1" applyProtection="1">
      <protection locked="0"/>
    </xf>
    <xf numFmtId="1" fontId="6" fillId="17" borderId="58" xfId="0" applyNumberFormat="1" applyFont="1" applyFill="1" applyBorder="1" applyProtection="1">
      <protection locked="0"/>
    </xf>
    <xf numFmtId="1" fontId="6" fillId="17" borderId="156" xfId="0" applyNumberFormat="1" applyFont="1" applyFill="1" applyBorder="1" applyProtection="1">
      <protection locked="0"/>
    </xf>
    <xf numFmtId="1" fontId="6" fillId="0" borderId="14" xfId="0" applyNumberFormat="1" applyFont="1" applyBorder="1" applyAlignment="1">
      <alignment wrapText="1"/>
    </xf>
    <xf numFmtId="1" fontId="6" fillId="17" borderId="154" xfId="0" applyNumberFormat="1" applyFont="1" applyFill="1" applyBorder="1" applyProtection="1">
      <protection locked="0"/>
    </xf>
    <xf numFmtId="1" fontId="6" fillId="4" borderId="26" xfId="0" applyNumberFormat="1" applyFont="1" applyFill="1" applyBorder="1"/>
    <xf numFmtId="1" fontId="6" fillId="4" borderId="55" xfId="0" applyNumberFormat="1" applyFont="1" applyFill="1" applyBorder="1"/>
    <xf numFmtId="1" fontId="6" fillId="4" borderId="27" xfId="0" applyNumberFormat="1" applyFont="1" applyFill="1" applyBorder="1"/>
    <xf numFmtId="1" fontId="6" fillId="0" borderId="138" xfId="0" applyNumberFormat="1" applyFont="1" applyBorder="1" applyAlignment="1">
      <alignment wrapText="1"/>
    </xf>
    <xf numFmtId="1" fontId="6" fillId="0" borderId="44" xfId="0" applyNumberFormat="1" applyFont="1" applyBorder="1" applyAlignment="1">
      <alignment wrapText="1"/>
    </xf>
    <xf numFmtId="1" fontId="6" fillId="0" borderId="166" xfId="0" applyNumberFormat="1" applyFont="1" applyBorder="1" applyAlignment="1">
      <alignment wrapText="1"/>
    </xf>
    <xf numFmtId="1" fontId="6" fillId="4" borderId="44" xfId="0" applyNumberFormat="1" applyFont="1" applyFill="1" applyBorder="1"/>
    <xf numFmtId="1" fontId="6" fillId="4" borderId="15" xfId="0" applyNumberFormat="1" applyFont="1" applyFill="1" applyBorder="1"/>
    <xf numFmtId="1" fontId="6" fillId="17" borderId="165" xfId="0" applyNumberFormat="1" applyFont="1" applyFill="1" applyBorder="1" applyProtection="1">
      <protection locked="0"/>
    </xf>
    <xf numFmtId="1" fontId="6" fillId="4" borderId="45" xfId="0" applyNumberFormat="1" applyFont="1" applyFill="1" applyBorder="1"/>
    <xf numFmtId="1" fontId="6" fillId="0" borderId="24" xfId="0" applyNumberFormat="1" applyFont="1" applyBorder="1" applyAlignment="1">
      <alignment horizontal="left" wrapText="1"/>
    </xf>
    <xf numFmtId="1" fontId="6" fillId="0" borderId="34" xfId="0" applyNumberFormat="1" applyFont="1" applyBorder="1" applyAlignment="1">
      <alignment horizontal="left" wrapText="1"/>
    </xf>
    <xf numFmtId="1" fontId="6" fillId="0" borderId="167" xfId="0" applyNumberFormat="1" applyFont="1" applyBorder="1" applyAlignment="1">
      <alignment horizontal="left" vertical="center" wrapText="1"/>
    </xf>
    <xf numFmtId="1" fontId="6" fillId="0" borderId="167" xfId="0" applyNumberFormat="1" applyFont="1" applyBorder="1" applyAlignment="1">
      <alignment horizontal="left" wrapText="1"/>
    </xf>
    <xf numFmtId="1" fontId="6" fillId="0" borderId="35" xfId="0" applyNumberFormat="1" applyFont="1" applyBorder="1" applyAlignment="1">
      <alignment horizontal="left" wrapText="1"/>
    </xf>
    <xf numFmtId="1" fontId="6" fillId="0" borderId="43" xfId="0" applyNumberFormat="1" applyFont="1" applyBorder="1" applyAlignment="1">
      <alignment horizontal="left" wrapText="1"/>
    </xf>
    <xf numFmtId="1" fontId="6" fillId="0" borderId="36" xfId="0" applyNumberFormat="1" applyFont="1" applyBorder="1" applyAlignment="1">
      <alignment wrapText="1"/>
    </xf>
    <xf numFmtId="1" fontId="6" fillId="0" borderId="73" xfId="0" applyNumberFormat="1" applyFont="1" applyBorder="1" applyAlignment="1">
      <alignment wrapText="1"/>
    </xf>
    <xf numFmtId="1" fontId="6" fillId="0" borderId="55" xfId="0" applyNumberFormat="1" applyFont="1" applyBorder="1" applyAlignment="1">
      <alignment wrapText="1"/>
    </xf>
    <xf numFmtId="1" fontId="6" fillId="17" borderId="0" xfId="0" applyNumberFormat="1" applyFont="1" applyFill="1" applyProtection="1">
      <protection locked="0"/>
    </xf>
    <xf numFmtId="1" fontId="6" fillId="17" borderId="13" xfId="0" applyNumberFormat="1" applyFont="1" applyFill="1" applyBorder="1" applyProtection="1">
      <protection locked="0"/>
    </xf>
    <xf numFmtId="1" fontId="6" fillId="0" borderId="35" xfId="0" applyNumberFormat="1" applyFont="1" applyBorder="1" applyAlignment="1">
      <alignment wrapText="1"/>
    </xf>
    <xf numFmtId="1" fontId="6" fillId="0" borderId="43" xfId="0" applyNumberFormat="1" applyFont="1" applyBorder="1" applyAlignment="1">
      <alignment wrapText="1"/>
    </xf>
    <xf numFmtId="1" fontId="6" fillId="3" borderId="138" xfId="0" applyNumberFormat="1" applyFont="1" applyFill="1" applyBorder="1" applyProtection="1">
      <protection locked="0"/>
    </xf>
    <xf numFmtId="1" fontId="6" fillId="3" borderId="36" xfId="0" applyNumberFormat="1" applyFont="1" applyFill="1" applyBorder="1" applyProtection="1">
      <protection locked="0"/>
    </xf>
  </cellXfs>
  <cellStyles count="5">
    <cellStyle name="Normal" xfId="0" builtinId="0"/>
    <cellStyle name="Normal 2" xfId="1" xr:uid="{00000000-0005-0000-0000-000001000000}"/>
    <cellStyle name="Normal_REM 04-2002" xfId="3" xr:uid="{00000000-0005-0000-0000-000002000000}"/>
    <cellStyle name="Normal_REM 05-2002" xfId="2" xr:uid="{00000000-0005-0000-0000-000003000000}"/>
    <cellStyle name="Normal_REM 06-2002" xfId="4" xr:uid="{00000000-0005-0000-0000-000004000000}"/>
  </cellStyles>
  <dxfs count="8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DAEAF8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a3" displayName="Tabla3" ref="C1:AX49" totalsRowShown="0" headerRowDxfId="88" tableBorderDxfId="87">
  <autoFilter ref="C1:AX49" xr:uid="{00000000-0009-0000-0100-000003000000}"/>
  <tableColumns count="48">
    <tableColumn id="1" xr3:uid="{00000000-0010-0000-0000-000001000000}" name="T O T A L" dataDxfId="86">
      <calculatedColumnFormula>+ANTIGUO!C2-NUEVO!C2</calculatedColumnFormula>
    </tableColumn>
    <tableColumn id="2" xr3:uid="{00000000-0010-0000-0000-000002000000}" name="Columna1" dataDxfId="85">
      <calculatedColumnFormula>+ANTIGUO!D2-NUEVO!D2</calculatedColumnFormula>
    </tableColumn>
    <tableColumn id="3" xr3:uid="{00000000-0010-0000-0000-000003000000}" name="Columna2" dataDxfId="84">
      <calculatedColumnFormula>+ANTIGUO!E2-NUEVO!E2</calculatedColumnFormula>
    </tableColumn>
    <tableColumn id="4" xr3:uid="{00000000-0010-0000-0000-000004000000}" name="GRUPO DE EDAD (en años)" dataDxfId="83">
      <calculatedColumnFormula>+ANTIGUO!F2-NUEVO!F2</calculatedColumnFormula>
    </tableColumn>
    <tableColumn id="5" xr3:uid="{00000000-0010-0000-0000-000005000000}" name="Columna3" dataDxfId="82">
      <calculatedColumnFormula>+ANTIGUO!G2-NUEVO!G2</calculatedColumnFormula>
    </tableColumn>
    <tableColumn id="6" xr3:uid="{00000000-0010-0000-0000-000006000000}" name="Columna4" dataDxfId="81">
      <calculatedColumnFormula>+ANTIGUO!H2-NUEVO!H2</calculatedColumnFormula>
    </tableColumn>
    <tableColumn id="7" xr3:uid="{00000000-0010-0000-0000-000007000000}" name="Columna5" dataDxfId="80">
      <calculatedColumnFormula>+ANTIGUO!I2-NUEVO!I2</calculatedColumnFormula>
    </tableColumn>
    <tableColumn id="8" xr3:uid="{00000000-0010-0000-0000-000008000000}" name="Columna6" dataDxfId="79">
      <calculatedColumnFormula>+ANTIGUO!J2-NUEVO!J2</calculatedColumnFormula>
    </tableColumn>
    <tableColumn id="9" xr3:uid="{00000000-0010-0000-0000-000009000000}" name="Columna7" dataDxfId="78">
      <calculatedColumnFormula>+ANTIGUO!K2-NUEVO!K2</calculatedColumnFormula>
    </tableColumn>
    <tableColumn id="10" xr3:uid="{00000000-0010-0000-0000-00000A000000}" name="Columna8" dataDxfId="77">
      <calculatedColumnFormula>+ANTIGUO!L2-NUEVO!L2</calculatedColumnFormula>
    </tableColumn>
    <tableColumn id="11" xr3:uid="{00000000-0010-0000-0000-00000B000000}" name="Columna9" dataDxfId="76">
      <calculatedColumnFormula>+ANTIGUO!M2-NUEVO!M2</calculatedColumnFormula>
    </tableColumn>
    <tableColumn id="12" xr3:uid="{00000000-0010-0000-0000-00000C000000}" name="Columna10" dataDxfId="75">
      <calculatedColumnFormula>+ANTIGUO!N2-NUEVO!N2</calculatedColumnFormula>
    </tableColumn>
    <tableColumn id="13" xr3:uid="{00000000-0010-0000-0000-00000D000000}" name="Columna11" dataDxfId="74">
      <calculatedColumnFormula>+ANTIGUO!O2-NUEVO!O2</calculatedColumnFormula>
    </tableColumn>
    <tableColumn id="14" xr3:uid="{00000000-0010-0000-0000-00000E000000}" name="Columna12" dataDxfId="73">
      <calculatedColumnFormula>+ANTIGUO!P2-NUEVO!P2</calculatedColumnFormula>
    </tableColumn>
    <tableColumn id="15" xr3:uid="{00000000-0010-0000-0000-00000F000000}" name="Columna13" dataDxfId="72">
      <calculatedColumnFormula>+ANTIGUO!Q2-NUEVO!Q2</calculatedColumnFormula>
    </tableColumn>
    <tableColumn id="16" xr3:uid="{00000000-0010-0000-0000-000010000000}" name="Columna14" dataDxfId="71">
      <calculatedColumnFormula>+ANTIGUO!R2-NUEVO!R2</calculatedColumnFormula>
    </tableColumn>
    <tableColumn id="17" xr3:uid="{00000000-0010-0000-0000-000011000000}" name="Columna15" dataDxfId="70">
      <calculatedColumnFormula>+ANTIGUO!S2-NUEVO!S2</calculatedColumnFormula>
    </tableColumn>
    <tableColumn id="18" xr3:uid="{00000000-0010-0000-0000-000012000000}" name="Columna16" dataDxfId="69">
      <calculatedColumnFormula>+ANTIGUO!T2-NUEVO!T2</calculatedColumnFormula>
    </tableColumn>
    <tableColumn id="19" xr3:uid="{00000000-0010-0000-0000-000013000000}" name="Columna17" dataDxfId="68">
      <calculatedColumnFormula>+ANTIGUO!U2-NUEVO!U2</calculatedColumnFormula>
    </tableColumn>
    <tableColumn id="20" xr3:uid="{00000000-0010-0000-0000-000014000000}" name="Columna18" dataDxfId="67">
      <calculatedColumnFormula>+ANTIGUO!V2-NUEVO!V2</calculatedColumnFormula>
    </tableColumn>
    <tableColumn id="21" xr3:uid="{00000000-0010-0000-0000-000015000000}" name="Columna19" dataDxfId="66">
      <calculatedColumnFormula>+ANTIGUO!W2-NUEVO!W2</calculatedColumnFormula>
    </tableColumn>
    <tableColumn id="22" xr3:uid="{00000000-0010-0000-0000-000016000000}" name="Columna20" dataDxfId="65">
      <calculatedColumnFormula>+ANTIGUO!X2-NUEVO!X2</calculatedColumnFormula>
    </tableColumn>
    <tableColumn id="23" xr3:uid="{00000000-0010-0000-0000-000017000000}" name="Columna21" dataDxfId="64">
      <calculatedColumnFormula>+ANTIGUO!Y2-NUEVO!Y2</calculatedColumnFormula>
    </tableColumn>
    <tableColumn id="24" xr3:uid="{00000000-0010-0000-0000-000018000000}" name="Columna22" dataDxfId="63">
      <calculatedColumnFormula>+ANTIGUO!Z2-NUEVO!Z2</calculatedColumnFormula>
    </tableColumn>
    <tableColumn id="25" xr3:uid="{00000000-0010-0000-0000-000019000000}" name="Columna23" dataDxfId="62">
      <calculatedColumnFormula>+ANTIGUO!AA2-NUEVO!AA2</calculatedColumnFormula>
    </tableColumn>
    <tableColumn id="26" xr3:uid="{00000000-0010-0000-0000-00001A000000}" name="Columna24" dataDxfId="61">
      <calculatedColumnFormula>+ANTIGUO!AB2-NUEVO!AB2</calculatedColumnFormula>
    </tableColumn>
    <tableColumn id="27" xr3:uid="{00000000-0010-0000-0000-00001B000000}" name="Columna25" dataDxfId="60">
      <calculatedColumnFormula>+ANTIGUO!AC2-NUEVO!AC2</calculatedColumnFormula>
    </tableColumn>
    <tableColumn id="28" xr3:uid="{00000000-0010-0000-0000-00001C000000}" name="Columna26" dataDxfId="59">
      <calculatedColumnFormula>+ANTIGUO!AD2-NUEVO!AD2</calculatedColumnFormula>
    </tableColumn>
    <tableColumn id="29" xr3:uid="{00000000-0010-0000-0000-00001D000000}" name="Columna27" dataDxfId="58">
      <calculatedColumnFormula>+ANTIGUO!AE2-NUEVO!AE2</calculatedColumnFormula>
    </tableColumn>
    <tableColumn id="30" xr3:uid="{00000000-0010-0000-0000-00001E000000}" name="Columna28" dataDxfId="57">
      <calculatedColumnFormula>+ANTIGUO!AF2-NUEVO!AF2</calculatedColumnFormula>
    </tableColumn>
    <tableColumn id="31" xr3:uid="{00000000-0010-0000-0000-00001F000000}" name="Columna29" dataDxfId="56">
      <calculatedColumnFormula>+ANTIGUO!AG2-NUEVO!AG2</calculatedColumnFormula>
    </tableColumn>
    <tableColumn id="32" xr3:uid="{00000000-0010-0000-0000-000020000000}" name="Columna30" dataDxfId="55">
      <calculatedColumnFormula>+ANTIGUO!AH2-NUEVO!AH2</calculatedColumnFormula>
    </tableColumn>
    <tableColumn id="33" xr3:uid="{00000000-0010-0000-0000-000021000000}" name="Columna31" dataDxfId="54">
      <calculatedColumnFormula>+ANTIGUO!AI2-NUEVO!AI2</calculatedColumnFormula>
    </tableColumn>
    <tableColumn id="34" xr3:uid="{00000000-0010-0000-0000-000022000000}" name="Columna32" dataDxfId="53">
      <calculatedColumnFormula>+ANTIGUO!AJ2-NUEVO!AJ2</calculatedColumnFormula>
    </tableColumn>
    <tableColumn id="35" xr3:uid="{00000000-0010-0000-0000-000023000000}" name="Columna33" dataDxfId="52">
      <calculatedColumnFormula>+ANTIGUO!AK2-NUEVO!AK2</calculatedColumnFormula>
    </tableColumn>
    <tableColumn id="36" xr3:uid="{00000000-0010-0000-0000-000024000000}" name="Columna34" dataDxfId="51">
      <calculatedColumnFormula>+ANTIGUO!AL2-NUEVO!AL2</calculatedColumnFormula>
    </tableColumn>
    <tableColumn id="37" xr3:uid="{00000000-0010-0000-0000-000025000000}" name="Columna35" dataDxfId="50">
      <calculatedColumnFormula>+ANTIGUO!AM2-NUEVO!AM2</calculatedColumnFormula>
    </tableColumn>
    <tableColumn id="38" xr3:uid="{00000000-0010-0000-0000-000026000000}" name="Gestantes" dataDxfId="49">
      <calculatedColumnFormula>+ANTIGUO!AN2-NUEVO!AN2</calculatedColumnFormula>
    </tableColumn>
    <tableColumn id="39" xr3:uid="{00000000-0010-0000-0000-000027000000}" name="Madre de Hijo menor de 5 años " dataDxfId="48">
      <calculatedColumnFormula>+ANTIGUO!AO2-NUEVO!AO2</calculatedColumnFormula>
    </tableColumn>
    <tableColumn id="40" xr3:uid="{00000000-0010-0000-0000-000028000000}" name="Pueblos Originarios" dataDxfId="47">
      <calculatedColumnFormula>+ANTIGUO!AP2-NUEVO!AP2</calculatedColumnFormula>
    </tableColumn>
    <tableColumn id="41" xr3:uid="{00000000-0010-0000-0000-000029000000}" name="Columna36" dataDxfId="46">
      <calculatedColumnFormula>+ANTIGUO!AQ2-NUEVO!AQ2</calculatedColumnFormula>
    </tableColumn>
    <tableColumn id="42" xr3:uid="{00000000-0010-0000-0000-00002A000000}" name=" Migrantes" dataDxfId="45">
      <calculatedColumnFormula>+ANTIGUO!AR2-NUEVO!AR2</calculatedColumnFormula>
    </tableColumn>
    <tableColumn id="43" xr3:uid="{00000000-0010-0000-0000-00002B000000}" name="Columna37" dataDxfId="44">
      <calculatedColumnFormula>+ANTIGUO!AS2-NUEVO!AS2</calculatedColumnFormula>
    </tableColumn>
    <tableColumn id="44" xr3:uid="{00000000-0010-0000-0000-00002C000000}" name="Niños, Niñas, Adolescentes y Jóvenes SENAME" dataDxfId="43">
      <calculatedColumnFormula>+ANTIGUO!AT2-NUEVO!AT2</calculatedColumnFormula>
    </tableColumn>
    <tableColumn id="45" xr3:uid="{00000000-0010-0000-0000-00002D000000}" name="Niños, Niñas, Adolescentes y Jóvenes Mejor Niñez" dataDxfId="42">
      <calculatedColumnFormula>+ANTIGUO!AU2-NUEVO!AU2</calculatedColumnFormula>
    </tableColumn>
    <tableColumn id="46" xr3:uid="{00000000-0010-0000-0000-00002E000000}" name="Plan Cuidado Integral Elaborado" dataDxfId="41">
      <calculatedColumnFormula>+ANTIGUO!AV2-NUEVO!AV2</calculatedColumnFormula>
    </tableColumn>
    <tableColumn id="47" xr3:uid="{00000000-0010-0000-0000-00002F000000}" name="TRANS " dataDxfId="40">
      <calculatedColumnFormula>+ANTIGUO!AW2-NUEVO!AW2</calculatedColumnFormula>
    </tableColumn>
    <tableColumn id="48" xr3:uid="{00000000-0010-0000-0000-000030000000}" name="Columna38" dataDxfId="39">
      <calculatedColumnFormula>+ANTIGUO!AX2-NUEVO!AX2</calculatedColumnFormula>
    </tableColumn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C3:AM52" totalsRowShown="0" headerRowBorderDxfId="38" tableBorderDxfId="37">
  <autoFilter ref="C3:AM52" xr:uid="{00000000-0009-0000-0100-000001000000}"/>
  <tableColumns count="37">
    <tableColumn id="1" xr3:uid="{00000000-0010-0000-0100-000001000000}" name="Ambos_x000a_sexos" dataDxfId="36">
      <calculatedColumnFormula>+SUM(F4:AM4)</calculatedColumnFormula>
    </tableColumn>
    <tableColumn id="2" xr3:uid="{00000000-0010-0000-0100-000002000000}" name="Hombres" dataDxfId="35">
      <calculatedColumnFormula>+IF(AND(CALCULO!D4&lt;&gt;"", CALCULO!D4&gt;0), CALCULO!D4, "")</calculatedColumnFormula>
    </tableColumn>
    <tableColumn id="3" xr3:uid="{00000000-0010-0000-0100-000003000000}" name="Mujeres" dataDxfId="34">
      <calculatedColumnFormula>+IF(AND(CALCULO!E4&lt;&gt;"", CALCULO!E4&gt;0), CALCULO!E4, "")</calculatedColumnFormula>
    </tableColumn>
    <tableColumn id="4" xr3:uid="{00000000-0010-0000-0100-000004000000}" name="Hombres2" dataDxfId="33">
      <calculatedColumnFormula>+IF(AND(CALCULO!F4&lt;&gt;"", CALCULO!F4&gt;0), CALCULO!F4, 0)</calculatedColumnFormula>
    </tableColumn>
    <tableColumn id="5" xr3:uid="{00000000-0010-0000-0100-000005000000}" name="Mujeres3" dataDxfId="32">
      <calculatedColumnFormula>+IF(AND(CALCULO!G4&lt;&gt;"", CALCULO!G4&gt;0), CALCULO!G4, 0)</calculatedColumnFormula>
    </tableColumn>
    <tableColumn id="6" xr3:uid="{00000000-0010-0000-0100-000006000000}" name="Hombres4" dataDxfId="31">
      <calculatedColumnFormula>+IF(AND(CALCULO!H4&lt;&gt;"", CALCULO!H4&gt;0), CALCULO!H4, 0)</calculatedColumnFormula>
    </tableColumn>
    <tableColumn id="7" xr3:uid="{00000000-0010-0000-0100-000007000000}" name="Mujeres5" dataDxfId="30">
      <calculatedColumnFormula>+IF(AND(CALCULO!I4&lt;&gt;"", CALCULO!I4&gt;0), CALCULO!I4, 0)</calculatedColumnFormula>
    </tableColumn>
    <tableColumn id="8" xr3:uid="{00000000-0010-0000-0100-000008000000}" name="Hombres6" dataDxfId="29">
      <calculatedColumnFormula>+IF(AND(CALCULO!J4&lt;&gt;"", CALCULO!J4&gt;0), CALCULO!J4, 0)</calculatedColumnFormula>
    </tableColumn>
    <tableColumn id="9" xr3:uid="{00000000-0010-0000-0100-000009000000}" name="Mujeres7" dataDxfId="28">
      <calculatedColumnFormula>+IF(AND(CALCULO!K4&lt;&gt;"",CALCULO!K4&gt;0),CALCULO!K4,0)</calculatedColumnFormula>
    </tableColumn>
    <tableColumn id="10" xr3:uid="{00000000-0010-0000-0100-00000A000000}" name="Hombres8" dataDxfId="27">
      <calculatedColumnFormula>+IF(AND(CALCULO!L4&lt;&gt;"", CALCULO!L4&gt;0), CALCULO!L4, 0)</calculatedColumnFormula>
    </tableColumn>
    <tableColumn id="11" xr3:uid="{00000000-0010-0000-0100-00000B000000}" name="Mujeres9" dataDxfId="26">
      <calculatedColumnFormula>+IF(AND(CALCULO!M4&lt;&gt;"", CALCULO!M4&gt;0), CALCULO!M4, 0)</calculatedColumnFormula>
    </tableColumn>
    <tableColumn id="12" xr3:uid="{00000000-0010-0000-0100-00000C000000}" name="Hombres10" dataDxfId="25">
      <calculatedColumnFormula>+IF(AND(CALCULO!N4&lt;&gt;"", CALCULO!N4&gt;0), CALCULO!N4, 0)</calculatedColumnFormula>
    </tableColumn>
    <tableColumn id="13" xr3:uid="{00000000-0010-0000-0100-00000D000000}" name="Mujeres11" dataDxfId="24">
      <calculatedColumnFormula>+IF(AND(CALCULO!O4&lt;&gt;"", CALCULO!O4&gt;0), CALCULO!O4, 0)</calculatedColumnFormula>
    </tableColumn>
    <tableColumn id="14" xr3:uid="{00000000-0010-0000-0100-00000E000000}" name="Hombres12" dataDxfId="23">
      <calculatedColumnFormula>+IF(AND(CALCULO!P4&lt;&gt;"", CALCULO!P4&gt;0), CALCULO!P4, 0)</calculatedColumnFormula>
    </tableColumn>
    <tableColumn id="15" xr3:uid="{00000000-0010-0000-0100-00000F000000}" name="Mujeres13" dataDxfId="22">
      <calculatedColumnFormula>+IF(AND(CALCULO!Q4&lt;&gt;"", CALCULO!Q4&gt;0), CALCULO!Q4, 0)</calculatedColumnFormula>
    </tableColumn>
    <tableColumn id="16" xr3:uid="{00000000-0010-0000-0100-000010000000}" name="Hombres14" dataDxfId="21">
      <calculatedColumnFormula>+IF(AND(CALCULO!R4&lt;&gt;"", CALCULO!R4&gt;0), CALCULO!R4, "")</calculatedColumnFormula>
    </tableColumn>
    <tableColumn id="17" xr3:uid="{00000000-0010-0000-0100-000011000000}" name="Mujeres15" dataDxfId="20">
      <calculatedColumnFormula>+IF(AND(CALCULO!S4&lt;&gt;"", CALCULO!S4&gt;0), CALCULO!S4, "")</calculatedColumnFormula>
    </tableColumn>
    <tableColumn id="18" xr3:uid="{00000000-0010-0000-0100-000012000000}" name="Hombres16" dataDxfId="19">
      <calculatedColumnFormula>+IF(AND(CALCULO!T4&lt;&gt;"", CALCULO!T4&gt;0), CALCULO!T4, "")</calculatedColumnFormula>
    </tableColumn>
    <tableColumn id="19" xr3:uid="{00000000-0010-0000-0100-000013000000}" name="Mujeres17" dataDxfId="18">
      <calculatedColumnFormula>+IF(AND(CALCULO!U4&lt;&gt;"", CALCULO!U4&gt;0), CALCULO!U4, "")</calculatedColumnFormula>
    </tableColumn>
    <tableColumn id="20" xr3:uid="{00000000-0010-0000-0100-000014000000}" name="Hombres18" dataDxfId="17">
      <calculatedColumnFormula>+IF(AND(CALCULO!V4&lt;&gt;"", CALCULO!V4&gt;0), CALCULO!V4, "")</calculatedColumnFormula>
    </tableColumn>
    <tableColumn id="21" xr3:uid="{00000000-0010-0000-0100-000015000000}" name="Mujeres19" dataDxfId="16">
      <calculatedColumnFormula>+IF(AND(CALCULO!W4&lt;&gt;"", CALCULO!W4&gt;0), CALCULO!W4, "")</calculatedColumnFormula>
    </tableColumn>
    <tableColumn id="22" xr3:uid="{00000000-0010-0000-0100-000016000000}" name="Hombres20" dataDxfId="15">
      <calculatedColumnFormula>+IF(AND(CALCULO!X4&lt;&gt;"", CALCULO!X4&gt;0), CALCULO!X4, "")</calculatedColumnFormula>
    </tableColumn>
    <tableColumn id="23" xr3:uid="{00000000-0010-0000-0100-000017000000}" name="Mujeres21" dataDxfId="14">
      <calculatedColumnFormula>+IF(AND(CALCULO!Y4&lt;&gt;"", CALCULO!Y4&gt;0), CALCULO!Y4, "")</calculatedColumnFormula>
    </tableColumn>
    <tableColumn id="24" xr3:uid="{00000000-0010-0000-0100-000018000000}" name="Hombres22" dataDxfId="13">
      <calculatedColumnFormula>+IF(AND(CALCULO!Z4&lt;&gt;"", CALCULO!Z4&gt;0), CALCULO!Z4, "")</calculatedColumnFormula>
    </tableColumn>
    <tableColumn id="25" xr3:uid="{00000000-0010-0000-0100-000019000000}" name="Mujeres23" dataDxfId="12">
      <calculatedColumnFormula>+IF(AND(CALCULO!AA4&lt;&gt;"", CALCULO!AA4&gt;0), CALCULO!AA4, "")</calculatedColumnFormula>
    </tableColumn>
    <tableColumn id="26" xr3:uid="{00000000-0010-0000-0100-00001A000000}" name="Hombres24" dataDxfId="11">
      <calculatedColumnFormula>+IF(AND(CALCULO!AB4&lt;&gt;"", CALCULO!AB4&gt;0), CALCULO!AB4, "")</calculatedColumnFormula>
    </tableColumn>
    <tableColumn id="27" xr3:uid="{00000000-0010-0000-0100-00001B000000}" name="Mujeres25" dataDxfId="10">
      <calculatedColumnFormula>+IF(AND(CALCULO!AC4&lt;&gt;"", CALCULO!AC4&gt;0), CALCULO!AC4, "")</calculatedColumnFormula>
    </tableColumn>
    <tableColumn id="28" xr3:uid="{00000000-0010-0000-0100-00001C000000}" name="Hombres26" dataDxfId="9">
      <calculatedColumnFormula>+IF(AND(CALCULO!AD4&lt;&gt;"", CALCULO!AD4&gt;0), CALCULO!AD4, "")</calculatedColumnFormula>
    </tableColumn>
    <tableColumn id="29" xr3:uid="{00000000-0010-0000-0100-00001D000000}" name="Mujeres27" dataDxfId="8">
      <calculatedColumnFormula>+IF(AND(CALCULO!AE4&lt;&gt;"", CALCULO!AE4&gt;0), CALCULO!AE4, "")</calculatedColumnFormula>
    </tableColumn>
    <tableColumn id="30" xr3:uid="{00000000-0010-0000-0100-00001E000000}" name="Hombres " dataDxfId="7">
      <calculatedColumnFormula>+IF(AND(CALCULO!AF4&lt;&gt;"", CALCULO!AF4&gt;0), CALCULO!AF4, "")</calculatedColumnFormula>
    </tableColumn>
    <tableColumn id="31" xr3:uid="{00000000-0010-0000-0100-00001F000000}" name="Mujeres28" dataDxfId="6">
      <calculatedColumnFormula>+IF(AND(CALCULO!AG4&lt;&gt;"", CALCULO!AG4&gt;0), CALCULO!AG4, "")</calculatedColumnFormula>
    </tableColumn>
    <tableColumn id="32" xr3:uid="{00000000-0010-0000-0100-000020000000}" name="Hombres 29" dataDxfId="5">
      <calculatedColumnFormula>+IF(AND(CALCULO!AH4&lt;&gt;"", CALCULO!AH4&gt;0), CALCULO!AH4, "")</calculatedColumnFormula>
    </tableColumn>
    <tableColumn id="33" xr3:uid="{00000000-0010-0000-0100-000021000000}" name="Mujeres30" dataDxfId="4">
      <calculatedColumnFormula>+IF(AND(CALCULO!AI4&lt;&gt;"", CALCULO!AI4&gt;0), CALCULO!AI4, "")</calculatedColumnFormula>
    </tableColumn>
    <tableColumn id="34" xr3:uid="{00000000-0010-0000-0100-000022000000}" name="Hombres 31" dataDxfId="3">
      <calculatedColumnFormula>+IF(AND(CALCULO!AJ4&lt;&gt;"", CALCULO!AJ4&gt;0), CALCULO!AJ4, "")</calculatedColumnFormula>
    </tableColumn>
    <tableColumn id="35" xr3:uid="{00000000-0010-0000-0100-000023000000}" name="Mujeres32" dataDxfId="2">
      <calculatedColumnFormula>+IF(AND(CALCULO!AK4&lt;&gt;"", CALCULO!AK4&gt;0), CALCULO!AK4, "")</calculatedColumnFormula>
    </tableColumn>
    <tableColumn id="36" xr3:uid="{00000000-0010-0000-0100-000024000000}" name="Hombres33" dataDxfId="1">
      <calculatedColumnFormula>+IF(AND(CALCULO!AL4&lt;&gt;"", CALCULO!AL4&gt;0), CALCULO!AL4, "")</calculatedColumnFormula>
    </tableColumn>
    <tableColumn id="37" xr3:uid="{00000000-0010-0000-0100-000025000000}" name="Mujeres34" dataDxfId="0">
      <calculatedColumnFormula>+IF(AND(CALCULO!AM4&lt;&gt;"", CALCULO!AM4&gt;0), CALCULO!AM4, "")</calculatedColumnFormula>
    </tableColumn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Y49"/>
  <sheetViews>
    <sheetView workbookViewId="0">
      <selection activeCell="I15" sqref="I15"/>
    </sheetView>
  </sheetViews>
  <sheetFormatPr baseColWidth="10" defaultRowHeight="15" x14ac:dyDescent="0.25"/>
  <cols>
    <col min="1" max="1" width="16.85546875" customWidth="1"/>
    <col min="2" max="2" width="23.28515625" customWidth="1"/>
  </cols>
  <sheetData>
    <row r="1" spans="1:51" x14ac:dyDescent="0.25">
      <c r="A1" s="466" t="s">
        <v>0</v>
      </c>
      <c r="B1" s="467"/>
      <c r="C1" s="472" t="s">
        <v>1</v>
      </c>
      <c r="D1" s="472"/>
      <c r="E1" s="472"/>
      <c r="F1" s="472" t="s">
        <v>2</v>
      </c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  <c r="Y1" s="472"/>
      <c r="Z1" s="472"/>
      <c r="AA1" s="472"/>
      <c r="AB1" s="472"/>
      <c r="AC1" s="472"/>
      <c r="AD1" s="472"/>
      <c r="AE1" s="472"/>
      <c r="AF1" s="472"/>
      <c r="AG1" s="472"/>
      <c r="AH1" s="472"/>
      <c r="AI1" s="472"/>
      <c r="AJ1" s="472"/>
      <c r="AK1" s="472"/>
      <c r="AL1" s="472"/>
      <c r="AM1" s="473"/>
      <c r="AN1" s="458" t="s">
        <v>3</v>
      </c>
      <c r="AO1" s="461" t="s">
        <v>4</v>
      </c>
      <c r="AP1" s="428" t="s">
        <v>5</v>
      </c>
      <c r="AQ1" s="429"/>
      <c r="AR1" s="428" t="s">
        <v>6</v>
      </c>
      <c r="AS1" s="429"/>
      <c r="AT1" s="416" t="s">
        <v>7</v>
      </c>
      <c r="AU1" s="416" t="s">
        <v>8</v>
      </c>
      <c r="AV1" s="416" t="s">
        <v>9</v>
      </c>
      <c r="AW1" s="415" t="s">
        <v>10</v>
      </c>
      <c r="AX1" s="416"/>
    </row>
    <row r="2" spans="1:51" x14ac:dyDescent="0.25">
      <c r="A2" s="468"/>
      <c r="B2" s="469"/>
      <c r="C2" s="472"/>
      <c r="D2" s="472"/>
      <c r="E2" s="472"/>
      <c r="F2" s="487" t="s">
        <v>11</v>
      </c>
      <c r="G2" s="473"/>
      <c r="H2" s="472" t="s">
        <v>12</v>
      </c>
      <c r="I2" s="473"/>
      <c r="J2" s="464" t="s">
        <v>13</v>
      </c>
      <c r="K2" s="465"/>
      <c r="L2" s="464" t="s">
        <v>14</v>
      </c>
      <c r="M2" s="465"/>
      <c r="N2" s="464" t="s">
        <v>15</v>
      </c>
      <c r="O2" s="465"/>
      <c r="P2" s="464" t="s">
        <v>16</v>
      </c>
      <c r="Q2" s="465"/>
      <c r="R2" s="464" t="s">
        <v>17</v>
      </c>
      <c r="S2" s="465"/>
      <c r="T2" s="464" t="s">
        <v>18</v>
      </c>
      <c r="U2" s="465"/>
      <c r="V2" s="464" t="s">
        <v>19</v>
      </c>
      <c r="W2" s="465"/>
      <c r="X2" s="464" t="s">
        <v>20</v>
      </c>
      <c r="Y2" s="465"/>
      <c r="Z2" s="464" t="s">
        <v>21</v>
      </c>
      <c r="AA2" s="465"/>
      <c r="AB2" s="464" t="s">
        <v>22</v>
      </c>
      <c r="AC2" s="465"/>
      <c r="AD2" s="464" t="s">
        <v>23</v>
      </c>
      <c r="AE2" s="465"/>
      <c r="AF2" s="476" t="s">
        <v>24</v>
      </c>
      <c r="AG2" s="477"/>
      <c r="AH2" s="476" t="s">
        <v>25</v>
      </c>
      <c r="AI2" s="477"/>
      <c r="AJ2" s="476" t="s">
        <v>26</v>
      </c>
      <c r="AK2" s="477"/>
      <c r="AL2" s="478" t="s">
        <v>27</v>
      </c>
      <c r="AM2" s="479"/>
      <c r="AN2" s="459"/>
      <c r="AO2" s="462"/>
      <c r="AP2" s="430"/>
      <c r="AQ2" s="431"/>
      <c r="AR2" s="430"/>
      <c r="AS2" s="431"/>
      <c r="AT2" s="432"/>
      <c r="AU2" s="432"/>
      <c r="AV2" s="432"/>
      <c r="AW2" s="417"/>
      <c r="AX2" s="418"/>
    </row>
    <row r="3" spans="1:51" ht="21" x14ac:dyDescent="0.25">
      <c r="A3" s="470"/>
      <c r="B3" s="471"/>
      <c r="C3" s="18" t="s">
        <v>28</v>
      </c>
      <c r="D3" s="19" t="s">
        <v>29</v>
      </c>
      <c r="E3" s="20" t="s">
        <v>30</v>
      </c>
      <c r="F3" s="21" t="s">
        <v>29</v>
      </c>
      <c r="G3" s="20" t="s">
        <v>30</v>
      </c>
      <c r="H3" s="21" t="s">
        <v>29</v>
      </c>
      <c r="I3" s="20" t="s">
        <v>30</v>
      </c>
      <c r="J3" s="21" t="s">
        <v>29</v>
      </c>
      <c r="K3" s="20" t="s">
        <v>30</v>
      </c>
      <c r="L3" s="21" t="s">
        <v>29</v>
      </c>
      <c r="M3" s="20" t="s">
        <v>30</v>
      </c>
      <c r="N3" s="21" t="s">
        <v>29</v>
      </c>
      <c r="O3" s="20" t="s">
        <v>30</v>
      </c>
      <c r="P3" s="21" t="s">
        <v>29</v>
      </c>
      <c r="Q3" s="20" t="s">
        <v>30</v>
      </c>
      <c r="R3" s="21" t="s">
        <v>29</v>
      </c>
      <c r="S3" s="20" t="s">
        <v>30</v>
      </c>
      <c r="T3" s="21" t="s">
        <v>29</v>
      </c>
      <c r="U3" s="20" t="s">
        <v>30</v>
      </c>
      <c r="V3" s="21" t="s">
        <v>29</v>
      </c>
      <c r="W3" s="20" t="s">
        <v>30</v>
      </c>
      <c r="X3" s="21" t="s">
        <v>29</v>
      </c>
      <c r="Y3" s="20" t="s">
        <v>30</v>
      </c>
      <c r="Z3" s="21" t="s">
        <v>29</v>
      </c>
      <c r="AA3" s="20" t="s">
        <v>30</v>
      </c>
      <c r="AB3" s="21" t="s">
        <v>29</v>
      </c>
      <c r="AC3" s="20" t="s">
        <v>30</v>
      </c>
      <c r="AD3" s="21" t="s">
        <v>29</v>
      </c>
      <c r="AE3" s="20" t="s">
        <v>30</v>
      </c>
      <c r="AF3" s="22" t="s">
        <v>31</v>
      </c>
      <c r="AG3" s="23" t="s">
        <v>30</v>
      </c>
      <c r="AH3" s="22" t="s">
        <v>31</v>
      </c>
      <c r="AI3" s="23" t="s">
        <v>30</v>
      </c>
      <c r="AJ3" s="22" t="s">
        <v>31</v>
      </c>
      <c r="AK3" s="23" t="s">
        <v>30</v>
      </c>
      <c r="AL3" s="24" t="s">
        <v>29</v>
      </c>
      <c r="AM3" s="25" t="s">
        <v>30</v>
      </c>
      <c r="AN3" s="460"/>
      <c r="AO3" s="463"/>
      <c r="AP3" s="19" t="s">
        <v>29</v>
      </c>
      <c r="AQ3" s="3" t="s">
        <v>30</v>
      </c>
      <c r="AR3" s="19" t="s">
        <v>29</v>
      </c>
      <c r="AS3" s="3" t="s">
        <v>30</v>
      </c>
      <c r="AT3" s="418"/>
      <c r="AU3" s="418"/>
      <c r="AV3" s="418"/>
      <c r="AW3" s="27" t="s">
        <v>32</v>
      </c>
      <c r="AX3" s="27" t="s">
        <v>33</v>
      </c>
    </row>
    <row r="4" spans="1:51" x14ac:dyDescent="0.25">
      <c r="A4" s="480" t="s">
        <v>34</v>
      </c>
      <c r="B4" s="481"/>
      <c r="C4" s="319">
        <v>1335</v>
      </c>
      <c r="D4" s="28">
        <v>356</v>
      </c>
      <c r="E4" s="29">
        <v>979</v>
      </c>
      <c r="F4" s="30">
        <v>0</v>
      </c>
      <c r="G4" s="31">
        <v>1</v>
      </c>
      <c r="H4" s="30">
        <v>20</v>
      </c>
      <c r="I4" s="32">
        <v>6</v>
      </c>
      <c r="J4" s="33">
        <v>34</v>
      </c>
      <c r="K4" s="31">
        <v>34</v>
      </c>
      <c r="L4" s="30">
        <v>39</v>
      </c>
      <c r="M4" s="32">
        <v>52</v>
      </c>
      <c r="N4" s="30">
        <v>16</v>
      </c>
      <c r="O4" s="32">
        <v>51</v>
      </c>
      <c r="P4" s="30">
        <v>36</v>
      </c>
      <c r="Q4" s="32">
        <v>63</v>
      </c>
      <c r="R4" s="30">
        <v>24</v>
      </c>
      <c r="S4" s="32">
        <v>77</v>
      </c>
      <c r="T4" s="30">
        <v>21</v>
      </c>
      <c r="U4" s="32">
        <v>68</v>
      </c>
      <c r="V4" s="30">
        <v>15</v>
      </c>
      <c r="W4" s="32">
        <v>49</v>
      </c>
      <c r="X4" s="33">
        <v>14</v>
      </c>
      <c r="Y4" s="31">
        <v>27</v>
      </c>
      <c r="Z4" s="30">
        <v>16</v>
      </c>
      <c r="AA4" s="32">
        <v>58</v>
      </c>
      <c r="AB4" s="30">
        <v>13</v>
      </c>
      <c r="AC4" s="32">
        <v>117</v>
      </c>
      <c r="AD4" s="30">
        <v>37</v>
      </c>
      <c r="AE4" s="32">
        <v>125</v>
      </c>
      <c r="AF4" s="30">
        <v>27</v>
      </c>
      <c r="AG4" s="32">
        <v>90</v>
      </c>
      <c r="AH4" s="30">
        <v>11</v>
      </c>
      <c r="AI4" s="32">
        <v>62</v>
      </c>
      <c r="AJ4" s="30">
        <v>20</v>
      </c>
      <c r="AK4" s="32">
        <v>36</v>
      </c>
      <c r="AL4" s="33">
        <v>13</v>
      </c>
      <c r="AM4" s="31">
        <v>63</v>
      </c>
      <c r="AN4" s="34">
        <v>11</v>
      </c>
      <c r="AO4" s="35">
        <v>59</v>
      </c>
      <c r="AP4" s="33">
        <v>19</v>
      </c>
      <c r="AQ4" s="32">
        <v>37</v>
      </c>
      <c r="AR4" s="33">
        <v>16</v>
      </c>
      <c r="AS4" s="32">
        <v>34</v>
      </c>
      <c r="AT4" s="36">
        <v>2</v>
      </c>
      <c r="AU4" s="36">
        <v>16</v>
      </c>
      <c r="AV4" s="36">
        <v>122</v>
      </c>
      <c r="AW4" s="36">
        <v>16</v>
      </c>
      <c r="AX4" s="36">
        <v>7</v>
      </c>
      <c r="AY4" t="s">
        <v>156</v>
      </c>
    </row>
    <row r="5" spans="1:51" x14ac:dyDescent="0.25">
      <c r="A5" s="480" t="s">
        <v>35</v>
      </c>
      <c r="B5" s="482"/>
      <c r="C5" s="323"/>
      <c r="D5" s="304"/>
      <c r="E5" s="304"/>
      <c r="F5" s="304"/>
      <c r="G5" s="304"/>
      <c r="H5" s="304"/>
      <c r="I5" s="304"/>
      <c r="J5" s="304"/>
      <c r="K5" s="304"/>
      <c r="L5" s="304"/>
      <c r="M5" s="304"/>
      <c r="N5" s="304"/>
      <c r="O5" s="304"/>
      <c r="P5" s="304"/>
      <c r="Q5" s="304"/>
      <c r="R5" s="304"/>
      <c r="S5" s="304"/>
      <c r="T5" s="304"/>
      <c r="U5" s="304"/>
      <c r="V5" s="304"/>
      <c r="W5" s="304"/>
      <c r="X5" s="304"/>
      <c r="Y5" s="304"/>
      <c r="Z5" s="304"/>
      <c r="AA5" s="304"/>
      <c r="AB5" s="304"/>
      <c r="AC5" s="304"/>
      <c r="AD5" s="304"/>
      <c r="AE5" s="304"/>
      <c r="AF5" s="304"/>
      <c r="AG5" s="304"/>
      <c r="AH5" s="304"/>
      <c r="AI5" s="304"/>
      <c r="AJ5" s="304"/>
      <c r="AK5" s="304"/>
      <c r="AL5" s="304"/>
      <c r="AM5" s="304"/>
      <c r="AN5" s="304"/>
      <c r="AO5" s="304"/>
      <c r="AP5" s="304"/>
      <c r="AQ5" s="304"/>
      <c r="AR5" s="304"/>
      <c r="AS5" s="304"/>
      <c r="AT5" s="304"/>
      <c r="AU5" s="304"/>
      <c r="AV5" s="304"/>
      <c r="AW5" s="304"/>
      <c r="AX5" s="305"/>
    </row>
    <row r="6" spans="1:51" x14ac:dyDescent="0.25">
      <c r="A6" s="483" t="s">
        <v>191</v>
      </c>
      <c r="B6" s="37" t="s">
        <v>37</v>
      </c>
      <c r="C6" s="324">
        <v>7</v>
      </c>
      <c r="D6" s="38">
        <v>0</v>
      </c>
      <c r="E6" s="39">
        <v>7</v>
      </c>
      <c r="F6" s="40"/>
      <c r="G6" s="41"/>
      <c r="H6" s="40"/>
      <c r="I6" s="41"/>
      <c r="J6" s="40"/>
      <c r="K6" s="41"/>
      <c r="L6" s="40"/>
      <c r="M6" s="41"/>
      <c r="N6" s="40"/>
      <c r="O6" s="41"/>
      <c r="P6" s="40"/>
      <c r="Q6" s="41"/>
      <c r="R6" s="40"/>
      <c r="S6" s="41">
        <v>1</v>
      </c>
      <c r="T6" s="40"/>
      <c r="U6" s="41"/>
      <c r="V6" s="40"/>
      <c r="W6" s="41">
        <v>2</v>
      </c>
      <c r="X6" s="40"/>
      <c r="Y6" s="41"/>
      <c r="Z6" s="40"/>
      <c r="AA6" s="41">
        <v>1</v>
      </c>
      <c r="AB6" s="40"/>
      <c r="AC6" s="41"/>
      <c r="AD6" s="40"/>
      <c r="AE6" s="41">
        <v>2</v>
      </c>
      <c r="AF6" s="40"/>
      <c r="AG6" s="41"/>
      <c r="AH6" s="40"/>
      <c r="AI6" s="41"/>
      <c r="AJ6" s="40"/>
      <c r="AK6" s="41"/>
      <c r="AL6" s="40"/>
      <c r="AM6" s="42">
        <v>1</v>
      </c>
      <c r="AN6" s="43">
        <v>0</v>
      </c>
      <c r="AO6" s="44">
        <v>0</v>
      </c>
      <c r="AP6" s="45">
        <v>0</v>
      </c>
      <c r="AQ6" s="41">
        <v>1</v>
      </c>
      <c r="AR6" s="45">
        <v>0</v>
      </c>
      <c r="AS6" s="41">
        <v>0</v>
      </c>
      <c r="AT6" s="46">
        <v>0</v>
      </c>
      <c r="AU6" s="46">
        <v>0</v>
      </c>
      <c r="AV6" s="46">
        <v>7</v>
      </c>
      <c r="AW6" s="46">
        <v>0</v>
      </c>
      <c r="AX6" s="46">
        <v>0</v>
      </c>
      <c r="AY6" t="s">
        <v>156</v>
      </c>
    </row>
    <row r="7" spans="1:51" x14ac:dyDescent="0.25">
      <c r="A7" s="484"/>
      <c r="B7" s="47" t="s">
        <v>38</v>
      </c>
      <c r="C7" s="325">
        <v>0</v>
      </c>
      <c r="D7" s="48">
        <v>0</v>
      </c>
      <c r="E7" s="145">
        <v>0</v>
      </c>
      <c r="F7" s="73"/>
      <c r="G7" s="74"/>
      <c r="H7" s="73"/>
      <c r="I7" s="74"/>
      <c r="J7" s="73"/>
      <c r="K7" s="74"/>
      <c r="L7" s="73"/>
      <c r="M7" s="74"/>
      <c r="N7" s="73"/>
      <c r="O7" s="74"/>
      <c r="P7" s="73"/>
      <c r="Q7" s="74"/>
      <c r="R7" s="73"/>
      <c r="S7" s="74"/>
      <c r="T7" s="73"/>
      <c r="U7" s="74"/>
      <c r="V7" s="73"/>
      <c r="W7" s="74"/>
      <c r="X7" s="73"/>
      <c r="Y7" s="74"/>
      <c r="Z7" s="73"/>
      <c r="AA7" s="74"/>
      <c r="AB7" s="73"/>
      <c r="AC7" s="74"/>
      <c r="AD7" s="73"/>
      <c r="AE7" s="74"/>
      <c r="AF7" s="73"/>
      <c r="AG7" s="74"/>
      <c r="AH7" s="73"/>
      <c r="AI7" s="74"/>
      <c r="AJ7" s="73"/>
      <c r="AK7" s="74"/>
      <c r="AL7" s="73"/>
      <c r="AM7" s="75"/>
      <c r="AN7" s="76"/>
      <c r="AO7" s="77"/>
      <c r="AP7" s="78"/>
      <c r="AQ7" s="74"/>
      <c r="AR7" s="78"/>
      <c r="AS7" s="74"/>
      <c r="AT7" s="79"/>
      <c r="AU7" s="79"/>
      <c r="AV7" s="79"/>
      <c r="AW7" s="79"/>
      <c r="AX7" s="79"/>
      <c r="AY7" t="s">
        <v>156</v>
      </c>
    </row>
    <row r="8" spans="1:51" x14ac:dyDescent="0.25">
      <c r="A8" s="456" t="s">
        <v>192</v>
      </c>
      <c r="B8" s="301" t="s">
        <v>37</v>
      </c>
      <c r="C8" s="324">
        <v>8</v>
      </c>
      <c r="D8" s="38">
        <v>1</v>
      </c>
      <c r="E8" s="39">
        <v>7</v>
      </c>
      <c r="F8" s="40"/>
      <c r="G8" s="41"/>
      <c r="H8" s="40"/>
      <c r="I8" s="41"/>
      <c r="J8" s="40"/>
      <c r="K8" s="41"/>
      <c r="L8" s="40"/>
      <c r="M8" s="41"/>
      <c r="N8" s="40"/>
      <c r="O8" s="41">
        <v>1</v>
      </c>
      <c r="P8" s="40">
        <v>1</v>
      </c>
      <c r="Q8" s="41">
        <v>2</v>
      </c>
      <c r="R8" s="40"/>
      <c r="S8" s="41"/>
      <c r="T8" s="40"/>
      <c r="U8" s="41"/>
      <c r="V8" s="40"/>
      <c r="W8" s="41"/>
      <c r="X8" s="40"/>
      <c r="Y8" s="41">
        <v>1</v>
      </c>
      <c r="Z8" s="40"/>
      <c r="AA8" s="41">
        <v>1</v>
      </c>
      <c r="AB8" s="40"/>
      <c r="AC8" s="41"/>
      <c r="AD8" s="40"/>
      <c r="AE8" s="41"/>
      <c r="AF8" s="40"/>
      <c r="AG8" s="41">
        <v>2</v>
      </c>
      <c r="AH8" s="40"/>
      <c r="AI8" s="41"/>
      <c r="AJ8" s="40"/>
      <c r="AK8" s="41"/>
      <c r="AL8" s="40"/>
      <c r="AM8" s="42"/>
      <c r="AN8" s="43">
        <v>0</v>
      </c>
      <c r="AO8" s="44">
        <v>0</v>
      </c>
      <c r="AP8" s="45">
        <v>0</v>
      </c>
      <c r="AQ8" s="41">
        <v>0</v>
      </c>
      <c r="AR8" s="45">
        <v>0</v>
      </c>
      <c r="AS8" s="41">
        <v>1</v>
      </c>
      <c r="AT8" s="46">
        <v>0</v>
      </c>
      <c r="AU8" s="46">
        <v>0</v>
      </c>
      <c r="AV8" s="46">
        <v>3</v>
      </c>
      <c r="AW8" s="46">
        <v>1</v>
      </c>
      <c r="AX8" s="46">
        <v>0</v>
      </c>
    </row>
    <row r="9" spans="1:51" x14ac:dyDescent="0.25">
      <c r="A9" s="457"/>
      <c r="B9" s="301" t="s">
        <v>38</v>
      </c>
      <c r="C9" s="325">
        <v>0</v>
      </c>
      <c r="D9" s="48">
        <v>0</v>
      </c>
      <c r="E9" s="145">
        <v>0</v>
      </c>
      <c r="F9" s="73"/>
      <c r="G9" s="74"/>
      <c r="H9" s="73"/>
      <c r="I9" s="74"/>
      <c r="J9" s="73"/>
      <c r="K9" s="74"/>
      <c r="L9" s="73"/>
      <c r="M9" s="74"/>
      <c r="N9" s="73"/>
      <c r="O9" s="74"/>
      <c r="P9" s="73"/>
      <c r="Q9" s="74"/>
      <c r="R9" s="73"/>
      <c r="S9" s="74"/>
      <c r="T9" s="73"/>
      <c r="U9" s="74"/>
      <c r="V9" s="73"/>
      <c r="W9" s="74"/>
      <c r="X9" s="73"/>
      <c r="Y9" s="74"/>
      <c r="Z9" s="73"/>
      <c r="AA9" s="74"/>
      <c r="AB9" s="73"/>
      <c r="AC9" s="74"/>
      <c r="AD9" s="73"/>
      <c r="AE9" s="74"/>
      <c r="AF9" s="73"/>
      <c r="AG9" s="74"/>
      <c r="AH9" s="73"/>
      <c r="AI9" s="74"/>
      <c r="AJ9" s="73"/>
      <c r="AK9" s="74"/>
      <c r="AL9" s="73"/>
      <c r="AM9" s="75"/>
      <c r="AN9" s="76"/>
      <c r="AO9" s="77"/>
      <c r="AP9" s="78"/>
      <c r="AQ9" s="74"/>
      <c r="AR9" s="78"/>
      <c r="AS9" s="74"/>
      <c r="AT9" s="79"/>
      <c r="AU9" s="79"/>
      <c r="AV9" s="79"/>
      <c r="AW9" s="79"/>
      <c r="AX9" s="79"/>
    </row>
    <row r="10" spans="1:51" x14ac:dyDescent="0.25">
      <c r="A10" s="456" t="s">
        <v>193</v>
      </c>
      <c r="B10" s="301" t="s">
        <v>37</v>
      </c>
      <c r="C10" s="324">
        <v>20</v>
      </c>
      <c r="D10" s="38">
        <v>1</v>
      </c>
      <c r="E10" s="39">
        <v>19</v>
      </c>
      <c r="F10" s="40"/>
      <c r="G10" s="41"/>
      <c r="H10" s="40"/>
      <c r="I10" s="41"/>
      <c r="J10" s="40"/>
      <c r="K10" s="41"/>
      <c r="L10" s="40"/>
      <c r="M10" s="41">
        <v>1</v>
      </c>
      <c r="N10" s="40"/>
      <c r="O10" s="41">
        <v>1</v>
      </c>
      <c r="P10" s="40"/>
      <c r="Q10" s="41">
        <v>5</v>
      </c>
      <c r="R10" s="40">
        <v>1</v>
      </c>
      <c r="S10" s="41">
        <v>2</v>
      </c>
      <c r="T10" s="40"/>
      <c r="U10" s="41">
        <v>2</v>
      </c>
      <c r="V10" s="40"/>
      <c r="W10" s="41"/>
      <c r="X10" s="40"/>
      <c r="Y10" s="41">
        <v>2</v>
      </c>
      <c r="Z10" s="40"/>
      <c r="AA10" s="41">
        <v>2</v>
      </c>
      <c r="AB10" s="40"/>
      <c r="AC10" s="41">
        <v>2</v>
      </c>
      <c r="AD10" s="40"/>
      <c r="AE10" s="41"/>
      <c r="AF10" s="40"/>
      <c r="AG10" s="41">
        <v>2</v>
      </c>
      <c r="AH10" s="40"/>
      <c r="AI10" s="41"/>
      <c r="AJ10" s="40"/>
      <c r="AK10" s="41"/>
      <c r="AL10" s="40"/>
      <c r="AM10" s="42"/>
      <c r="AN10" s="43">
        <v>0</v>
      </c>
      <c r="AO10" s="44">
        <v>6</v>
      </c>
      <c r="AP10" s="45">
        <v>0</v>
      </c>
      <c r="AQ10" s="41">
        <v>4</v>
      </c>
      <c r="AR10" s="45">
        <v>0</v>
      </c>
      <c r="AS10" s="41">
        <v>1</v>
      </c>
      <c r="AT10" s="46">
        <v>0</v>
      </c>
      <c r="AU10" s="46">
        <v>0</v>
      </c>
      <c r="AV10" s="46">
        <v>20</v>
      </c>
      <c r="AW10" s="46">
        <v>1</v>
      </c>
      <c r="AX10" s="46">
        <v>0</v>
      </c>
    </row>
    <row r="11" spans="1:51" x14ac:dyDescent="0.25">
      <c r="A11" s="457"/>
      <c r="B11" s="301" t="s">
        <v>38</v>
      </c>
      <c r="C11" s="325">
        <v>0</v>
      </c>
      <c r="D11" s="48">
        <v>0</v>
      </c>
      <c r="E11" s="49">
        <v>0</v>
      </c>
      <c r="F11" s="50"/>
      <c r="G11" s="51"/>
      <c r="H11" s="50"/>
      <c r="I11" s="51"/>
      <c r="J11" s="50"/>
      <c r="K11" s="51"/>
      <c r="L11" s="50"/>
      <c r="M11" s="51"/>
      <c r="N11" s="50"/>
      <c r="O11" s="51"/>
      <c r="P11" s="50"/>
      <c r="Q11" s="51"/>
      <c r="R11" s="50"/>
      <c r="S11" s="51"/>
      <c r="T11" s="50"/>
      <c r="U11" s="51"/>
      <c r="V11" s="50"/>
      <c r="W11" s="51"/>
      <c r="X11" s="50"/>
      <c r="Y11" s="51"/>
      <c r="Z11" s="50"/>
      <c r="AA11" s="51"/>
      <c r="AB11" s="50"/>
      <c r="AC11" s="51"/>
      <c r="AD11" s="50"/>
      <c r="AE11" s="51"/>
      <c r="AF11" s="50"/>
      <c r="AG11" s="51"/>
      <c r="AH11" s="50"/>
      <c r="AI11" s="51"/>
      <c r="AJ11" s="50"/>
      <c r="AK11" s="51"/>
      <c r="AL11" s="50"/>
      <c r="AM11" s="52"/>
      <c r="AN11" s="53"/>
      <c r="AO11" s="54"/>
      <c r="AP11" s="55"/>
      <c r="AQ11" s="51"/>
      <c r="AR11" s="55"/>
      <c r="AS11" s="51"/>
      <c r="AT11" s="56"/>
      <c r="AU11" s="56"/>
      <c r="AV11" s="56"/>
      <c r="AW11" s="56"/>
      <c r="AX11" s="56"/>
    </row>
    <row r="12" spans="1:51" x14ac:dyDescent="0.25">
      <c r="A12" s="485" t="s">
        <v>39</v>
      </c>
      <c r="B12" s="486"/>
      <c r="C12" s="326"/>
      <c r="D12" s="57"/>
      <c r="E12" s="58"/>
      <c r="F12" s="59"/>
      <c r="G12" s="60"/>
      <c r="H12" s="59"/>
      <c r="I12" s="60"/>
      <c r="J12" s="59"/>
      <c r="K12" s="60"/>
      <c r="L12" s="59"/>
      <c r="M12" s="60"/>
      <c r="N12" s="59"/>
      <c r="O12" s="60"/>
      <c r="P12" s="59"/>
      <c r="Q12" s="60"/>
      <c r="R12" s="59"/>
      <c r="S12" s="60"/>
      <c r="T12" s="59"/>
      <c r="U12" s="60"/>
      <c r="V12" s="59"/>
      <c r="W12" s="60"/>
      <c r="X12" s="59"/>
      <c r="Y12" s="60"/>
      <c r="Z12" s="59"/>
      <c r="AA12" s="60"/>
      <c r="AB12" s="59"/>
      <c r="AC12" s="60"/>
      <c r="AD12" s="59"/>
      <c r="AE12" s="60"/>
      <c r="AF12" s="59"/>
      <c r="AG12" s="60"/>
      <c r="AH12" s="59"/>
      <c r="AI12" s="60"/>
      <c r="AJ12" s="59"/>
      <c r="AK12" s="60"/>
      <c r="AL12" s="59"/>
      <c r="AM12" s="61"/>
      <c r="AN12" s="62"/>
      <c r="AO12" s="63"/>
      <c r="AP12" s="64"/>
      <c r="AQ12" s="60"/>
      <c r="AR12" s="64"/>
      <c r="AS12" s="60"/>
      <c r="AT12" s="65"/>
      <c r="AU12" s="65"/>
      <c r="AV12" s="65"/>
      <c r="AW12" s="65"/>
      <c r="AX12" s="65"/>
      <c r="AY12" t="s">
        <v>156</v>
      </c>
    </row>
    <row r="13" spans="1:51" x14ac:dyDescent="0.25">
      <c r="A13" s="474" t="s">
        <v>40</v>
      </c>
      <c r="B13" s="66" t="s">
        <v>41</v>
      </c>
      <c r="C13" s="327">
        <v>6</v>
      </c>
      <c r="D13" s="106">
        <v>3</v>
      </c>
      <c r="E13" s="67">
        <v>3</v>
      </c>
      <c r="F13" s="306"/>
      <c r="G13" s="68"/>
      <c r="H13" s="40"/>
      <c r="I13" s="41"/>
      <c r="J13" s="40"/>
      <c r="K13" s="41"/>
      <c r="L13" s="40">
        <v>1</v>
      </c>
      <c r="M13" s="41"/>
      <c r="N13" s="40">
        <v>1</v>
      </c>
      <c r="O13" s="41">
        <v>1</v>
      </c>
      <c r="P13" s="40"/>
      <c r="Q13" s="41"/>
      <c r="R13" s="40"/>
      <c r="S13" s="41"/>
      <c r="T13" s="40"/>
      <c r="U13" s="41">
        <v>2</v>
      </c>
      <c r="V13" s="40"/>
      <c r="W13" s="41"/>
      <c r="X13" s="40"/>
      <c r="Y13" s="41"/>
      <c r="Z13" s="40">
        <v>1</v>
      </c>
      <c r="AA13" s="41"/>
      <c r="AB13" s="40"/>
      <c r="AC13" s="41"/>
      <c r="AD13" s="40"/>
      <c r="AE13" s="41"/>
      <c r="AF13" s="40"/>
      <c r="AG13" s="41"/>
      <c r="AH13" s="40"/>
      <c r="AI13" s="41"/>
      <c r="AJ13" s="40"/>
      <c r="AK13" s="41"/>
      <c r="AL13" s="40"/>
      <c r="AM13" s="42"/>
      <c r="AN13" s="43">
        <v>0</v>
      </c>
      <c r="AO13" s="44">
        <v>1</v>
      </c>
      <c r="AP13" s="45">
        <v>1</v>
      </c>
      <c r="AQ13" s="41">
        <v>0</v>
      </c>
      <c r="AR13" s="45">
        <v>0</v>
      </c>
      <c r="AS13" s="41">
        <v>1</v>
      </c>
      <c r="AT13" s="46">
        <v>0</v>
      </c>
      <c r="AU13" s="46">
        <v>0</v>
      </c>
      <c r="AV13" s="46">
        <v>6</v>
      </c>
      <c r="AW13" s="46">
        <v>0</v>
      </c>
      <c r="AX13" s="46">
        <v>0</v>
      </c>
      <c r="AY13" t="s">
        <v>156</v>
      </c>
    </row>
    <row r="14" spans="1:51" x14ac:dyDescent="0.25">
      <c r="A14" s="445"/>
      <c r="B14" s="69" t="s">
        <v>42</v>
      </c>
      <c r="C14" s="326">
        <v>14</v>
      </c>
      <c r="D14" s="57">
        <v>5</v>
      </c>
      <c r="E14" s="58">
        <v>9</v>
      </c>
      <c r="F14" s="70"/>
      <c r="G14" s="71"/>
      <c r="H14" s="59"/>
      <c r="I14" s="60"/>
      <c r="J14" s="59"/>
      <c r="K14" s="60">
        <v>2</v>
      </c>
      <c r="L14" s="59">
        <v>1</v>
      </c>
      <c r="M14" s="60"/>
      <c r="N14" s="59"/>
      <c r="O14" s="60">
        <v>1</v>
      </c>
      <c r="P14" s="59"/>
      <c r="Q14" s="60"/>
      <c r="R14" s="59"/>
      <c r="S14" s="60"/>
      <c r="T14" s="59">
        <v>1</v>
      </c>
      <c r="U14" s="60">
        <v>3</v>
      </c>
      <c r="V14" s="59">
        <v>1</v>
      </c>
      <c r="W14" s="60">
        <v>1</v>
      </c>
      <c r="X14" s="59">
        <v>1</v>
      </c>
      <c r="Y14" s="60"/>
      <c r="Z14" s="59"/>
      <c r="AA14" s="60">
        <v>2</v>
      </c>
      <c r="AB14" s="59"/>
      <c r="AC14" s="60"/>
      <c r="AD14" s="59">
        <v>1</v>
      </c>
      <c r="AE14" s="60"/>
      <c r="AF14" s="59"/>
      <c r="AG14" s="60"/>
      <c r="AH14" s="59"/>
      <c r="AI14" s="60"/>
      <c r="AJ14" s="59"/>
      <c r="AK14" s="60"/>
      <c r="AL14" s="59"/>
      <c r="AM14" s="61"/>
      <c r="AN14" s="62">
        <v>0</v>
      </c>
      <c r="AO14" s="63">
        <v>2</v>
      </c>
      <c r="AP14" s="64">
        <v>0</v>
      </c>
      <c r="AQ14" s="60">
        <v>0</v>
      </c>
      <c r="AR14" s="64">
        <v>0</v>
      </c>
      <c r="AS14" s="60">
        <v>0</v>
      </c>
      <c r="AT14" s="65">
        <v>0</v>
      </c>
      <c r="AU14" s="65">
        <v>0</v>
      </c>
      <c r="AV14" s="65">
        <v>14</v>
      </c>
      <c r="AW14" s="65">
        <v>0</v>
      </c>
      <c r="AX14" s="65">
        <v>1</v>
      </c>
      <c r="AY14" t="s">
        <v>156</v>
      </c>
    </row>
    <row r="15" spans="1:51" x14ac:dyDescent="0.25">
      <c r="A15" s="480" t="s">
        <v>43</v>
      </c>
      <c r="B15" s="488"/>
      <c r="C15" s="319">
        <v>1280</v>
      </c>
      <c r="D15" s="28">
        <v>346</v>
      </c>
      <c r="E15" s="29">
        <v>934</v>
      </c>
      <c r="F15" s="30">
        <v>0</v>
      </c>
      <c r="G15" s="32">
        <v>1</v>
      </c>
      <c r="H15" s="30">
        <v>20</v>
      </c>
      <c r="I15" s="32">
        <v>6</v>
      </c>
      <c r="J15" s="30">
        <v>34</v>
      </c>
      <c r="K15" s="32">
        <v>32</v>
      </c>
      <c r="L15" s="30">
        <v>37</v>
      </c>
      <c r="M15" s="32">
        <v>51</v>
      </c>
      <c r="N15" s="30">
        <v>15</v>
      </c>
      <c r="O15" s="32">
        <v>47</v>
      </c>
      <c r="P15" s="30">
        <v>35</v>
      </c>
      <c r="Q15" s="32">
        <v>56</v>
      </c>
      <c r="R15" s="30">
        <v>23</v>
      </c>
      <c r="S15" s="32">
        <v>74</v>
      </c>
      <c r="T15" s="30">
        <v>20</v>
      </c>
      <c r="U15" s="32">
        <v>61</v>
      </c>
      <c r="V15" s="30">
        <v>14</v>
      </c>
      <c r="W15" s="32">
        <v>46</v>
      </c>
      <c r="X15" s="30">
        <v>13</v>
      </c>
      <c r="Y15" s="32">
        <v>24</v>
      </c>
      <c r="Z15" s="30">
        <v>15</v>
      </c>
      <c r="AA15" s="32">
        <v>52</v>
      </c>
      <c r="AB15" s="30">
        <v>13</v>
      </c>
      <c r="AC15" s="32">
        <v>115</v>
      </c>
      <c r="AD15" s="30">
        <v>36</v>
      </c>
      <c r="AE15" s="32">
        <v>123</v>
      </c>
      <c r="AF15" s="30">
        <v>27</v>
      </c>
      <c r="AG15" s="32">
        <v>86</v>
      </c>
      <c r="AH15" s="30">
        <v>11</v>
      </c>
      <c r="AI15" s="32">
        <v>62</v>
      </c>
      <c r="AJ15" s="30">
        <v>20</v>
      </c>
      <c r="AK15" s="32">
        <v>36</v>
      </c>
      <c r="AL15" s="30">
        <v>13</v>
      </c>
      <c r="AM15" s="72">
        <v>62</v>
      </c>
      <c r="AN15" s="34">
        <v>11</v>
      </c>
      <c r="AO15" s="35">
        <v>50</v>
      </c>
      <c r="AP15" s="33">
        <v>18</v>
      </c>
      <c r="AQ15" s="32">
        <v>32</v>
      </c>
      <c r="AR15" s="33">
        <v>16</v>
      </c>
      <c r="AS15" s="32">
        <v>31</v>
      </c>
      <c r="AT15" s="36">
        <v>2</v>
      </c>
      <c r="AU15" s="36">
        <v>16</v>
      </c>
      <c r="AV15" s="36">
        <v>72</v>
      </c>
      <c r="AW15" s="36">
        <v>14</v>
      </c>
      <c r="AX15" s="36">
        <v>6</v>
      </c>
      <c r="AY15" t="s">
        <v>156</v>
      </c>
    </row>
    <row r="16" spans="1:51" x14ac:dyDescent="0.25">
      <c r="A16" s="489" t="s">
        <v>44</v>
      </c>
      <c r="B16" s="37" t="s">
        <v>45</v>
      </c>
      <c r="C16" s="324">
        <v>78</v>
      </c>
      <c r="D16" s="38">
        <v>9</v>
      </c>
      <c r="E16" s="39">
        <v>69</v>
      </c>
      <c r="F16" s="73"/>
      <c r="G16" s="74"/>
      <c r="H16" s="73"/>
      <c r="I16" s="74"/>
      <c r="J16" s="73">
        <v>1</v>
      </c>
      <c r="K16" s="74">
        <v>1</v>
      </c>
      <c r="L16" s="73"/>
      <c r="M16" s="74">
        <v>3</v>
      </c>
      <c r="N16" s="73"/>
      <c r="O16" s="74">
        <v>3</v>
      </c>
      <c r="P16" s="73">
        <v>2</v>
      </c>
      <c r="Q16" s="74">
        <v>4</v>
      </c>
      <c r="R16" s="73"/>
      <c r="S16" s="74">
        <v>6</v>
      </c>
      <c r="T16" s="73">
        <v>1</v>
      </c>
      <c r="U16" s="74">
        <v>7</v>
      </c>
      <c r="V16" s="73"/>
      <c r="W16" s="74"/>
      <c r="X16" s="73"/>
      <c r="Y16" s="74">
        <v>1</v>
      </c>
      <c r="Z16" s="73"/>
      <c r="AA16" s="74">
        <v>4</v>
      </c>
      <c r="AB16" s="73"/>
      <c r="AC16" s="74">
        <v>12</v>
      </c>
      <c r="AD16" s="73">
        <v>1</v>
      </c>
      <c r="AE16" s="74">
        <v>7</v>
      </c>
      <c r="AF16" s="73">
        <v>2</v>
      </c>
      <c r="AG16" s="74">
        <v>5</v>
      </c>
      <c r="AH16" s="73">
        <v>1</v>
      </c>
      <c r="AI16" s="74">
        <v>5</v>
      </c>
      <c r="AJ16" s="73"/>
      <c r="AK16" s="74">
        <v>5</v>
      </c>
      <c r="AL16" s="73">
        <v>1</v>
      </c>
      <c r="AM16" s="75">
        <v>6</v>
      </c>
      <c r="AN16" s="76">
        <v>1</v>
      </c>
      <c r="AO16" s="77">
        <v>8</v>
      </c>
      <c r="AP16" s="78">
        <v>0</v>
      </c>
      <c r="AQ16" s="74">
        <v>5</v>
      </c>
      <c r="AR16" s="78">
        <v>0</v>
      </c>
      <c r="AS16" s="74">
        <v>1</v>
      </c>
      <c r="AT16" s="79">
        <v>0</v>
      </c>
      <c r="AU16" s="79">
        <v>0</v>
      </c>
      <c r="AV16" s="79">
        <v>0</v>
      </c>
      <c r="AW16" s="79">
        <v>1</v>
      </c>
      <c r="AX16" s="79">
        <v>0</v>
      </c>
      <c r="AY16" t="s">
        <v>156</v>
      </c>
    </row>
    <row r="17" spans="1:51" x14ac:dyDescent="0.25">
      <c r="A17" s="490"/>
      <c r="B17" s="80" t="s">
        <v>46</v>
      </c>
      <c r="C17" s="324">
        <v>165</v>
      </c>
      <c r="D17" s="38">
        <v>37</v>
      </c>
      <c r="E17" s="39">
        <v>128</v>
      </c>
      <c r="F17" s="81"/>
      <c r="G17" s="82"/>
      <c r="H17" s="81"/>
      <c r="I17" s="82"/>
      <c r="J17" s="81">
        <v>2</v>
      </c>
      <c r="K17" s="82">
        <v>1</v>
      </c>
      <c r="L17" s="81">
        <v>5</v>
      </c>
      <c r="M17" s="82">
        <v>4</v>
      </c>
      <c r="N17" s="81">
        <v>2</v>
      </c>
      <c r="O17" s="82">
        <v>3</v>
      </c>
      <c r="P17" s="81">
        <v>5</v>
      </c>
      <c r="Q17" s="82">
        <v>9</v>
      </c>
      <c r="R17" s="81">
        <v>1</v>
      </c>
      <c r="S17" s="82">
        <v>11</v>
      </c>
      <c r="T17" s="81">
        <v>5</v>
      </c>
      <c r="U17" s="82">
        <v>14</v>
      </c>
      <c r="V17" s="81">
        <v>3</v>
      </c>
      <c r="W17" s="82">
        <v>12</v>
      </c>
      <c r="X17" s="81">
        <v>1</v>
      </c>
      <c r="Y17" s="82">
        <v>3</v>
      </c>
      <c r="Z17" s="81">
        <v>2</v>
      </c>
      <c r="AA17" s="82">
        <v>6</v>
      </c>
      <c r="AB17" s="81">
        <v>3</v>
      </c>
      <c r="AC17" s="82">
        <v>24</v>
      </c>
      <c r="AD17" s="81">
        <v>2</v>
      </c>
      <c r="AE17" s="82">
        <v>14</v>
      </c>
      <c r="AF17" s="81">
        <v>5</v>
      </c>
      <c r="AG17" s="82">
        <v>11</v>
      </c>
      <c r="AH17" s="81">
        <v>1</v>
      </c>
      <c r="AI17" s="82">
        <v>9</v>
      </c>
      <c r="AJ17" s="81"/>
      <c r="AK17" s="82">
        <v>4</v>
      </c>
      <c r="AL17" s="81"/>
      <c r="AM17" s="83">
        <v>3</v>
      </c>
      <c r="AN17" s="84">
        <v>1</v>
      </c>
      <c r="AO17" s="85">
        <v>4</v>
      </c>
      <c r="AP17" s="86">
        <v>1</v>
      </c>
      <c r="AQ17" s="82">
        <v>5</v>
      </c>
      <c r="AR17" s="86">
        <v>2</v>
      </c>
      <c r="AS17" s="82">
        <v>7</v>
      </c>
      <c r="AT17" s="87">
        <v>0</v>
      </c>
      <c r="AU17" s="87">
        <v>0</v>
      </c>
      <c r="AV17" s="87">
        <v>0</v>
      </c>
      <c r="AW17" s="87">
        <v>1</v>
      </c>
      <c r="AX17" s="87">
        <v>0</v>
      </c>
      <c r="AY17" t="s">
        <v>156</v>
      </c>
    </row>
    <row r="18" spans="1:51" x14ac:dyDescent="0.25">
      <c r="A18" s="490"/>
      <c r="B18" s="80" t="s">
        <v>47</v>
      </c>
      <c r="C18" s="324">
        <v>49</v>
      </c>
      <c r="D18" s="38">
        <v>18</v>
      </c>
      <c r="E18" s="39">
        <v>31</v>
      </c>
      <c r="F18" s="81"/>
      <c r="G18" s="82"/>
      <c r="H18" s="81"/>
      <c r="I18" s="82"/>
      <c r="J18" s="81"/>
      <c r="K18" s="82">
        <v>2</v>
      </c>
      <c r="L18" s="81">
        <v>2</v>
      </c>
      <c r="M18" s="82">
        <v>1</v>
      </c>
      <c r="N18" s="81">
        <v>1</v>
      </c>
      <c r="O18" s="82">
        <v>1</v>
      </c>
      <c r="P18" s="81">
        <v>2</v>
      </c>
      <c r="Q18" s="82">
        <v>3</v>
      </c>
      <c r="R18" s="81">
        <v>2</v>
      </c>
      <c r="S18" s="82">
        <v>3</v>
      </c>
      <c r="T18" s="81">
        <v>1</v>
      </c>
      <c r="U18" s="82">
        <v>2</v>
      </c>
      <c r="V18" s="81"/>
      <c r="W18" s="82">
        <v>7</v>
      </c>
      <c r="X18" s="81">
        <v>2</v>
      </c>
      <c r="Y18" s="82"/>
      <c r="Z18" s="81">
        <v>1</v>
      </c>
      <c r="AA18" s="82">
        <v>2</v>
      </c>
      <c r="AB18" s="81">
        <v>1</v>
      </c>
      <c r="AC18" s="82">
        <v>4</v>
      </c>
      <c r="AD18" s="81">
        <v>3</v>
      </c>
      <c r="AE18" s="82">
        <v>3</v>
      </c>
      <c r="AF18" s="81">
        <v>1</v>
      </c>
      <c r="AG18" s="82">
        <v>1</v>
      </c>
      <c r="AH18" s="81"/>
      <c r="AI18" s="82">
        <v>1</v>
      </c>
      <c r="AJ18" s="81">
        <v>2</v>
      </c>
      <c r="AK18" s="82"/>
      <c r="AL18" s="81"/>
      <c r="AM18" s="83">
        <v>1</v>
      </c>
      <c r="AN18" s="84">
        <v>0</v>
      </c>
      <c r="AO18" s="85">
        <v>3</v>
      </c>
      <c r="AP18" s="86">
        <v>0</v>
      </c>
      <c r="AQ18" s="82">
        <v>1</v>
      </c>
      <c r="AR18" s="86">
        <v>0</v>
      </c>
      <c r="AS18" s="82">
        <v>2</v>
      </c>
      <c r="AT18" s="87">
        <v>0</v>
      </c>
      <c r="AU18" s="87">
        <v>0</v>
      </c>
      <c r="AV18" s="87">
        <v>0</v>
      </c>
      <c r="AW18" s="87">
        <v>0</v>
      </c>
      <c r="AX18" s="87">
        <v>0</v>
      </c>
      <c r="AY18" t="s">
        <v>156</v>
      </c>
    </row>
    <row r="19" spans="1:51" x14ac:dyDescent="0.25">
      <c r="A19" s="491"/>
      <c r="B19" s="88" t="s">
        <v>48</v>
      </c>
      <c r="C19" s="324">
        <v>7</v>
      </c>
      <c r="D19" s="89"/>
      <c r="E19" s="90">
        <v>7</v>
      </c>
      <c r="F19" s="91"/>
      <c r="G19" s="92"/>
      <c r="H19" s="91"/>
      <c r="I19" s="92"/>
      <c r="J19" s="91"/>
      <c r="K19" s="82"/>
      <c r="L19" s="91"/>
      <c r="M19" s="82"/>
      <c r="N19" s="91"/>
      <c r="O19" s="82">
        <v>2</v>
      </c>
      <c r="P19" s="91"/>
      <c r="Q19" s="82"/>
      <c r="R19" s="91"/>
      <c r="S19" s="82">
        <v>4</v>
      </c>
      <c r="T19" s="91"/>
      <c r="U19" s="82">
        <v>1</v>
      </c>
      <c r="V19" s="91"/>
      <c r="W19" s="82"/>
      <c r="X19" s="91"/>
      <c r="Y19" s="82"/>
      <c r="Z19" s="91"/>
      <c r="AA19" s="82"/>
      <c r="AB19" s="91"/>
      <c r="AC19" s="82"/>
      <c r="AD19" s="91"/>
      <c r="AE19" s="92"/>
      <c r="AF19" s="91"/>
      <c r="AG19" s="92"/>
      <c r="AH19" s="91"/>
      <c r="AI19" s="92"/>
      <c r="AJ19" s="91"/>
      <c r="AK19" s="92"/>
      <c r="AL19" s="91"/>
      <c r="AM19" s="93"/>
      <c r="AN19" s="94"/>
      <c r="AO19" s="85">
        <v>7</v>
      </c>
      <c r="AP19" s="89"/>
      <c r="AQ19" s="82">
        <v>1</v>
      </c>
      <c r="AR19" s="89"/>
      <c r="AS19" s="82">
        <v>0</v>
      </c>
      <c r="AT19" s="87">
        <v>0</v>
      </c>
      <c r="AU19" s="87">
        <v>0</v>
      </c>
      <c r="AV19" s="87">
        <v>0</v>
      </c>
      <c r="AW19" s="87">
        <v>1</v>
      </c>
      <c r="AX19" s="95"/>
      <c r="AY19" t="s">
        <v>156</v>
      </c>
    </row>
    <row r="20" spans="1:51" x14ac:dyDescent="0.25">
      <c r="A20" s="492"/>
      <c r="B20" s="47" t="s">
        <v>49</v>
      </c>
      <c r="C20" s="328">
        <v>14</v>
      </c>
      <c r="D20" s="96">
        <v>6</v>
      </c>
      <c r="E20" s="97">
        <v>8</v>
      </c>
      <c r="F20" s="98"/>
      <c r="G20" s="99"/>
      <c r="H20" s="98"/>
      <c r="I20" s="99"/>
      <c r="J20" s="98"/>
      <c r="K20" s="99"/>
      <c r="L20" s="98"/>
      <c r="M20" s="99"/>
      <c r="N20" s="98"/>
      <c r="O20" s="99">
        <v>1</v>
      </c>
      <c r="P20" s="98"/>
      <c r="Q20" s="99">
        <v>2</v>
      </c>
      <c r="R20" s="98">
        <v>1</v>
      </c>
      <c r="S20" s="99">
        <v>1</v>
      </c>
      <c r="T20" s="98">
        <v>1</v>
      </c>
      <c r="U20" s="99"/>
      <c r="V20" s="98">
        <v>1</v>
      </c>
      <c r="W20" s="99"/>
      <c r="X20" s="98"/>
      <c r="Y20" s="99"/>
      <c r="Z20" s="98">
        <v>1</v>
      </c>
      <c r="AA20" s="99">
        <v>1</v>
      </c>
      <c r="AB20" s="98">
        <v>1</v>
      </c>
      <c r="AC20" s="99"/>
      <c r="AD20" s="98">
        <v>1</v>
      </c>
      <c r="AE20" s="99">
        <v>2</v>
      </c>
      <c r="AF20" s="98"/>
      <c r="AG20" s="99"/>
      <c r="AH20" s="98"/>
      <c r="AI20" s="99"/>
      <c r="AJ20" s="98"/>
      <c r="AK20" s="99">
        <v>1</v>
      </c>
      <c r="AL20" s="98"/>
      <c r="AM20" s="100"/>
      <c r="AN20" s="101">
        <v>0</v>
      </c>
      <c r="AO20" s="102">
        <v>2</v>
      </c>
      <c r="AP20" s="103">
        <v>0</v>
      </c>
      <c r="AQ20" s="99">
        <v>0</v>
      </c>
      <c r="AR20" s="103">
        <v>0</v>
      </c>
      <c r="AS20" s="99">
        <v>0</v>
      </c>
      <c r="AT20" s="104">
        <v>0</v>
      </c>
      <c r="AU20" s="104">
        <v>0</v>
      </c>
      <c r="AV20" s="104">
        <v>0</v>
      </c>
      <c r="AW20" s="104">
        <v>0</v>
      </c>
      <c r="AX20" s="104">
        <v>1</v>
      </c>
      <c r="AY20" t="s">
        <v>156</v>
      </c>
    </row>
    <row r="21" spans="1:51" ht="22.5" x14ac:dyDescent="0.25">
      <c r="A21" s="489" t="s">
        <v>50</v>
      </c>
      <c r="B21" s="105" t="s">
        <v>51</v>
      </c>
      <c r="C21" s="327">
        <v>20</v>
      </c>
      <c r="D21" s="106">
        <v>13</v>
      </c>
      <c r="E21" s="67">
        <v>7</v>
      </c>
      <c r="F21" s="40"/>
      <c r="G21" s="41"/>
      <c r="H21" s="40"/>
      <c r="I21" s="41"/>
      <c r="J21" s="40"/>
      <c r="K21" s="41"/>
      <c r="L21" s="40"/>
      <c r="M21" s="41"/>
      <c r="N21" s="40"/>
      <c r="O21" s="41"/>
      <c r="P21" s="40"/>
      <c r="Q21" s="41"/>
      <c r="R21" s="40">
        <v>1</v>
      </c>
      <c r="S21" s="41"/>
      <c r="T21" s="40"/>
      <c r="U21" s="41">
        <v>3</v>
      </c>
      <c r="V21" s="40">
        <v>1</v>
      </c>
      <c r="W21" s="41"/>
      <c r="X21" s="40">
        <v>1</v>
      </c>
      <c r="Y21" s="41">
        <v>1</v>
      </c>
      <c r="Z21" s="40">
        <v>2</v>
      </c>
      <c r="AA21" s="41">
        <v>1</v>
      </c>
      <c r="AB21" s="40"/>
      <c r="AC21" s="41">
        <v>1</v>
      </c>
      <c r="AD21" s="40">
        <v>4</v>
      </c>
      <c r="AE21" s="41"/>
      <c r="AF21" s="40">
        <v>3</v>
      </c>
      <c r="AG21" s="41">
        <v>1</v>
      </c>
      <c r="AH21" s="40"/>
      <c r="AI21" s="41"/>
      <c r="AJ21" s="40">
        <v>1</v>
      </c>
      <c r="AK21" s="41"/>
      <c r="AL21" s="40"/>
      <c r="AM21" s="42"/>
      <c r="AN21" s="43">
        <v>0</v>
      </c>
      <c r="AO21" s="44">
        <v>1</v>
      </c>
      <c r="AP21" s="45">
        <v>3</v>
      </c>
      <c r="AQ21" s="41">
        <v>0</v>
      </c>
      <c r="AR21" s="45">
        <v>0</v>
      </c>
      <c r="AS21" s="41">
        <v>0</v>
      </c>
      <c r="AT21" s="46">
        <v>0</v>
      </c>
      <c r="AU21" s="46">
        <v>0</v>
      </c>
      <c r="AV21" s="46">
        <v>0</v>
      </c>
      <c r="AW21" s="46">
        <v>0</v>
      </c>
      <c r="AX21" s="46">
        <v>0</v>
      </c>
      <c r="AY21" t="s">
        <v>156</v>
      </c>
    </row>
    <row r="22" spans="1:51" ht="22.5" x14ac:dyDescent="0.25">
      <c r="A22" s="493"/>
      <c r="B22" s="107" t="s">
        <v>52</v>
      </c>
      <c r="C22" s="329">
        <v>5</v>
      </c>
      <c r="D22" s="108">
        <v>3</v>
      </c>
      <c r="E22" s="90">
        <v>2</v>
      </c>
      <c r="F22" s="81"/>
      <c r="G22" s="82"/>
      <c r="H22" s="81"/>
      <c r="I22" s="82"/>
      <c r="J22" s="81"/>
      <c r="K22" s="82"/>
      <c r="L22" s="81"/>
      <c r="M22" s="82"/>
      <c r="N22" s="81"/>
      <c r="O22" s="82"/>
      <c r="P22" s="81"/>
      <c r="Q22" s="82"/>
      <c r="R22" s="81"/>
      <c r="S22" s="82"/>
      <c r="T22" s="81"/>
      <c r="U22" s="82">
        <v>1</v>
      </c>
      <c r="V22" s="81"/>
      <c r="W22" s="82"/>
      <c r="X22" s="81"/>
      <c r="Y22" s="82">
        <v>1</v>
      </c>
      <c r="Z22" s="81"/>
      <c r="AA22" s="82"/>
      <c r="AB22" s="81"/>
      <c r="AC22" s="82"/>
      <c r="AD22" s="81">
        <v>2</v>
      </c>
      <c r="AE22" s="82"/>
      <c r="AF22" s="81">
        <v>1</v>
      </c>
      <c r="AG22" s="82"/>
      <c r="AH22" s="81"/>
      <c r="AI22" s="82"/>
      <c r="AJ22" s="81"/>
      <c r="AK22" s="82"/>
      <c r="AL22" s="81"/>
      <c r="AM22" s="83"/>
      <c r="AN22" s="84">
        <v>0</v>
      </c>
      <c r="AO22" s="85">
        <v>0</v>
      </c>
      <c r="AP22" s="86">
        <v>1</v>
      </c>
      <c r="AQ22" s="82">
        <v>0</v>
      </c>
      <c r="AR22" s="86">
        <v>0</v>
      </c>
      <c r="AS22" s="82">
        <v>0</v>
      </c>
      <c r="AT22" s="87">
        <v>0</v>
      </c>
      <c r="AU22" s="87">
        <v>0</v>
      </c>
      <c r="AV22" s="87">
        <v>0</v>
      </c>
      <c r="AW22" s="87">
        <v>0</v>
      </c>
      <c r="AX22" s="87">
        <v>0</v>
      </c>
      <c r="AY22" t="s">
        <v>156</v>
      </c>
    </row>
    <row r="23" spans="1:51" ht="22.5" x14ac:dyDescent="0.25">
      <c r="A23" s="494"/>
      <c r="B23" s="109" t="s">
        <v>53</v>
      </c>
      <c r="C23" s="328">
        <v>16</v>
      </c>
      <c r="D23" s="96">
        <v>9</v>
      </c>
      <c r="E23" s="97">
        <v>7</v>
      </c>
      <c r="F23" s="98"/>
      <c r="G23" s="99"/>
      <c r="H23" s="98"/>
      <c r="I23" s="99"/>
      <c r="J23" s="98"/>
      <c r="K23" s="99"/>
      <c r="L23" s="98"/>
      <c r="M23" s="99"/>
      <c r="N23" s="98">
        <v>1</v>
      </c>
      <c r="O23" s="99"/>
      <c r="P23" s="98">
        <v>1</v>
      </c>
      <c r="Q23" s="99">
        <v>2</v>
      </c>
      <c r="R23" s="98">
        <v>2</v>
      </c>
      <c r="S23" s="99"/>
      <c r="T23" s="98">
        <v>1</v>
      </c>
      <c r="U23" s="99">
        <v>1</v>
      </c>
      <c r="V23" s="98"/>
      <c r="W23" s="99">
        <v>1</v>
      </c>
      <c r="X23" s="98">
        <v>1</v>
      </c>
      <c r="Y23" s="99">
        <v>1</v>
      </c>
      <c r="Z23" s="98"/>
      <c r="AA23" s="99"/>
      <c r="AB23" s="98"/>
      <c r="AC23" s="99">
        <v>1</v>
      </c>
      <c r="AD23" s="98">
        <v>3</v>
      </c>
      <c r="AE23" s="99"/>
      <c r="AF23" s="98"/>
      <c r="AG23" s="99"/>
      <c r="AH23" s="98"/>
      <c r="AI23" s="99"/>
      <c r="AJ23" s="98"/>
      <c r="AK23" s="99">
        <v>1</v>
      </c>
      <c r="AL23" s="98"/>
      <c r="AM23" s="100"/>
      <c r="AN23" s="101">
        <v>0</v>
      </c>
      <c r="AO23" s="102">
        <v>1</v>
      </c>
      <c r="AP23" s="103">
        <v>0</v>
      </c>
      <c r="AQ23" s="99">
        <v>0</v>
      </c>
      <c r="AR23" s="103">
        <v>0</v>
      </c>
      <c r="AS23" s="99">
        <v>0</v>
      </c>
      <c r="AT23" s="104">
        <v>0</v>
      </c>
      <c r="AU23" s="104">
        <v>0</v>
      </c>
      <c r="AV23" s="104">
        <v>0</v>
      </c>
      <c r="AW23" s="104">
        <v>0</v>
      </c>
      <c r="AX23" s="104">
        <v>0</v>
      </c>
      <c r="AY23" t="s">
        <v>156</v>
      </c>
    </row>
    <row r="24" spans="1:51" ht="22.5" x14ac:dyDescent="0.25">
      <c r="A24" s="494"/>
      <c r="B24" s="109" t="s">
        <v>54</v>
      </c>
      <c r="C24" s="328">
        <v>19</v>
      </c>
      <c r="D24" s="96">
        <v>9</v>
      </c>
      <c r="E24" s="97">
        <v>10</v>
      </c>
      <c r="F24" s="98"/>
      <c r="G24" s="99"/>
      <c r="H24" s="98"/>
      <c r="I24" s="99"/>
      <c r="J24" s="98"/>
      <c r="K24" s="99"/>
      <c r="L24" s="98"/>
      <c r="M24" s="99"/>
      <c r="N24" s="98"/>
      <c r="O24" s="99"/>
      <c r="P24" s="98">
        <v>4</v>
      </c>
      <c r="Q24" s="99">
        <v>1</v>
      </c>
      <c r="R24" s="98">
        <v>2</v>
      </c>
      <c r="S24" s="99">
        <v>2</v>
      </c>
      <c r="T24" s="98"/>
      <c r="U24" s="99">
        <v>1</v>
      </c>
      <c r="V24" s="98">
        <v>1</v>
      </c>
      <c r="W24" s="99"/>
      <c r="X24" s="98"/>
      <c r="Y24" s="99"/>
      <c r="Z24" s="98">
        <v>1</v>
      </c>
      <c r="AA24" s="99"/>
      <c r="AB24" s="98"/>
      <c r="AC24" s="99">
        <v>2</v>
      </c>
      <c r="AD24" s="98">
        <v>1</v>
      </c>
      <c r="AE24" s="99"/>
      <c r="AF24" s="98"/>
      <c r="AG24" s="99"/>
      <c r="AH24" s="98"/>
      <c r="AI24" s="99">
        <v>2</v>
      </c>
      <c r="AJ24" s="98"/>
      <c r="AK24" s="99">
        <v>1</v>
      </c>
      <c r="AL24" s="98"/>
      <c r="AM24" s="100">
        <v>1</v>
      </c>
      <c r="AN24" s="101">
        <v>0</v>
      </c>
      <c r="AO24" s="102">
        <v>0</v>
      </c>
      <c r="AP24" s="103">
        <v>2</v>
      </c>
      <c r="AQ24" s="99">
        <v>0</v>
      </c>
      <c r="AR24" s="103">
        <v>0</v>
      </c>
      <c r="AS24" s="99">
        <v>0</v>
      </c>
      <c r="AT24" s="104">
        <v>0</v>
      </c>
      <c r="AU24" s="104">
        <v>0</v>
      </c>
      <c r="AV24" s="104">
        <v>0</v>
      </c>
      <c r="AW24" s="104">
        <v>0</v>
      </c>
      <c r="AX24" s="104">
        <v>0</v>
      </c>
      <c r="AY24" t="s">
        <v>156</v>
      </c>
    </row>
    <row r="25" spans="1:51" ht="22.5" x14ac:dyDescent="0.25">
      <c r="A25" s="492"/>
      <c r="B25" s="110" t="s">
        <v>55</v>
      </c>
      <c r="C25" s="325">
        <v>15</v>
      </c>
      <c r="D25" s="48">
        <v>11</v>
      </c>
      <c r="E25" s="49">
        <v>4</v>
      </c>
      <c r="F25" s="50"/>
      <c r="G25" s="51"/>
      <c r="H25" s="50"/>
      <c r="I25" s="51"/>
      <c r="J25" s="50"/>
      <c r="K25" s="51"/>
      <c r="L25" s="50"/>
      <c r="M25" s="51"/>
      <c r="N25" s="50"/>
      <c r="O25" s="51">
        <v>1</v>
      </c>
      <c r="P25" s="50">
        <v>2</v>
      </c>
      <c r="Q25" s="51"/>
      <c r="R25" s="50">
        <v>3</v>
      </c>
      <c r="S25" s="51"/>
      <c r="T25" s="50"/>
      <c r="U25" s="51">
        <v>3</v>
      </c>
      <c r="V25" s="50"/>
      <c r="W25" s="51"/>
      <c r="X25" s="50">
        <v>2</v>
      </c>
      <c r="Y25" s="51"/>
      <c r="Z25" s="50">
        <v>2</v>
      </c>
      <c r="AA25" s="51"/>
      <c r="AB25" s="50"/>
      <c r="AC25" s="51"/>
      <c r="AD25" s="50">
        <v>2</v>
      </c>
      <c r="AE25" s="51"/>
      <c r="AF25" s="50"/>
      <c r="AG25" s="51"/>
      <c r="AH25" s="50"/>
      <c r="AI25" s="51"/>
      <c r="AJ25" s="50"/>
      <c r="AK25" s="51"/>
      <c r="AL25" s="50"/>
      <c r="AM25" s="52"/>
      <c r="AN25" s="53">
        <v>0</v>
      </c>
      <c r="AO25" s="54">
        <v>0</v>
      </c>
      <c r="AP25" s="55">
        <v>0</v>
      </c>
      <c r="AQ25" s="51">
        <v>0</v>
      </c>
      <c r="AR25" s="55">
        <v>0</v>
      </c>
      <c r="AS25" s="51">
        <v>0</v>
      </c>
      <c r="AT25" s="56">
        <v>0</v>
      </c>
      <c r="AU25" s="56">
        <v>0</v>
      </c>
      <c r="AV25" s="56">
        <v>0</v>
      </c>
      <c r="AW25" s="56">
        <v>0</v>
      </c>
      <c r="AX25" s="56">
        <v>0</v>
      </c>
      <c r="AY25" t="s">
        <v>156</v>
      </c>
    </row>
    <row r="26" spans="1:51" ht="21" x14ac:dyDescent="0.25">
      <c r="A26" s="495" t="s">
        <v>56</v>
      </c>
      <c r="B26" s="111" t="s">
        <v>57</v>
      </c>
      <c r="C26" s="327">
        <v>87</v>
      </c>
      <c r="D26" s="106">
        <v>56</v>
      </c>
      <c r="E26" s="67">
        <v>31</v>
      </c>
      <c r="F26" s="40"/>
      <c r="G26" s="41">
        <v>1</v>
      </c>
      <c r="H26" s="40">
        <v>16</v>
      </c>
      <c r="I26" s="41">
        <v>5</v>
      </c>
      <c r="J26" s="40">
        <v>20</v>
      </c>
      <c r="K26" s="41">
        <v>8</v>
      </c>
      <c r="L26" s="40">
        <v>11</v>
      </c>
      <c r="M26" s="41">
        <v>2</v>
      </c>
      <c r="N26" s="40">
        <v>3</v>
      </c>
      <c r="O26" s="41">
        <v>2</v>
      </c>
      <c r="P26" s="40">
        <v>1</v>
      </c>
      <c r="Q26" s="41">
        <v>4</v>
      </c>
      <c r="R26" s="40">
        <v>3</v>
      </c>
      <c r="S26" s="41">
        <v>4</v>
      </c>
      <c r="T26" s="40">
        <v>2</v>
      </c>
      <c r="U26" s="41">
        <v>3</v>
      </c>
      <c r="V26" s="40"/>
      <c r="W26" s="41"/>
      <c r="X26" s="40"/>
      <c r="Y26" s="41"/>
      <c r="Z26" s="40"/>
      <c r="AA26" s="41"/>
      <c r="AB26" s="40"/>
      <c r="AC26" s="41">
        <v>1</v>
      </c>
      <c r="AD26" s="40"/>
      <c r="AE26" s="41">
        <v>1</v>
      </c>
      <c r="AF26" s="40"/>
      <c r="AG26" s="41"/>
      <c r="AH26" s="40"/>
      <c r="AI26" s="41"/>
      <c r="AJ26" s="40"/>
      <c r="AK26" s="41"/>
      <c r="AL26" s="40"/>
      <c r="AM26" s="42"/>
      <c r="AN26" s="43">
        <v>0</v>
      </c>
      <c r="AO26" s="112"/>
      <c r="AP26" s="45">
        <v>1</v>
      </c>
      <c r="AQ26" s="41">
        <v>0</v>
      </c>
      <c r="AR26" s="45">
        <v>6</v>
      </c>
      <c r="AS26" s="41">
        <v>1</v>
      </c>
      <c r="AT26" s="46">
        <v>1</v>
      </c>
      <c r="AU26" s="46">
        <v>3</v>
      </c>
      <c r="AV26" s="46">
        <v>0</v>
      </c>
      <c r="AW26" s="46">
        <v>1</v>
      </c>
      <c r="AX26" s="46">
        <v>0</v>
      </c>
      <c r="AY26" t="s">
        <v>156</v>
      </c>
    </row>
    <row r="27" spans="1:51" ht="31.5" x14ac:dyDescent="0.25">
      <c r="A27" s="496"/>
      <c r="B27" s="113" t="s">
        <v>58</v>
      </c>
      <c r="C27" s="329">
        <v>1</v>
      </c>
      <c r="D27" s="108">
        <v>1</v>
      </c>
      <c r="E27" s="90">
        <v>0</v>
      </c>
      <c r="F27" s="81"/>
      <c r="G27" s="82"/>
      <c r="H27" s="81"/>
      <c r="I27" s="82"/>
      <c r="J27" s="81">
        <v>1</v>
      </c>
      <c r="K27" s="82"/>
      <c r="L27" s="81"/>
      <c r="M27" s="82"/>
      <c r="N27" s="81"/>
      <c r="O27" s="86"/>
      <c r="P27" s="81"/>
      <c r="Q27" s="82"/>
      <c r="R27" s="81"/>
      <c r="S27" s="82"/>
      <c r="T27" s="81"/>
      <c r="U27" s="82"/>
      <c r="V27" s="81"/>
      <c r="W27" s="82"/>
      <c r="X27" s="81"/>
      <c r="Y27" s="82"/>
      <c r="Z27" s="81"/>
      <c r="AA27" s="82"/>
      <c r="AB27" s="81"/>
      <c r="AC27" s="82"/>
      <c r="AD27" s="81"/>
      <c r="AE27" s="82"/>
      <c r="AF27" s="81"/>
      <c r="AG27" s="82"/>
      <c r="AH27" s="81"/>
      <c r="AI27" s="82"/>
      <c r="AJ27" s="81"/>
      <c r="AK27" s="82"/>
      <c r="AL27" s="81"/>
      <c r="AM27" s="83"/>
      <c r="AN27" s="84">
        <v>0</v>
      </c>
      <c r="AO27" s="114"/>
      <c r="AP27" s="86">
        <v>0</v>
      </c>
      <c r="AQ27" s="82">
        <v>0</v>
      </c>
      <c r="AR27" s="86">
        <v>0</v>
      </c>
      <c r="AS27" s="82">
        <v>0</v>
      </c>
      <c r="AT27" s="87">
        <v>0</v>
      </c>
      <c r="AU27" s="87">
        <v>0</v>
      </c>
      <c r="AV27" s="87">
        <v>0</v>
      </c>
      <c r="AW27" s="87">
        <v>0</v>
      </c>
      <c r="AX27" s="87">
        <v>0</v>
      </c>
      <c r="AY27" t="s">
        <v>156</v>
      </c>
    </row>
    <row r="28" spans="1:51" ht="42" x14ac:dyDescent="0.25">
      <c r="A28" s="496"/>
      <c r="B28" s="113" t="s">
        <v>59</v>
      </c>
      <c r="C28" s="324">
        <v>0</v>
      </c>
      <c r="D28" s="38">
        <v>0</v>
      </c>
      <c r="E28" s="39">
        <v>0</v>
      </c>
      <c r="F28" s="81">
        <v>0</v>
      </c>
      <c r="G28" s="82">
        <v>0</v>
      </c>
      <c r="H28" s="81"/>
      <c r="I28" s="82"/>
      <c r="J28" s="81"/>
      <c r="K28" s="82"/>
      <c r="L28" s="91"/>
      <c r="M28" s="92"/>
      <c r="N28" s="91"/>
      <c r="O28" s="92"/>
      <c r="P28" s="91"/>
      <c r="Q28" s="92"/>
      <c r="R28" s="91"/>
      <c r="S28" s="92"/>
      <c r="T28" s="91"/>
      <c r="U28" s="92"/>
      <c r="V28" s="91"/>
      <c r="W28" s="92"/>
      <c r="X28" s="91"/>
      <c r="Y28" s="92"/>
      <c r="Z28" s="91"/>
      <c r="AA28" s="92"/>
      <c r="AB28" s="91"/>
      <c r="AC28" s="92"/>
      <c r="AD28" s="91"/>
      <c r="AE28" s="92"/>
      <c r="AF28" s="91"/>
      <c r="AG28" s="92"/>
      <c r="AH28" s="91"/>
      <c r="AI28" s="92"/>
      <c r="AJ28" s="91"/>
      <c r="AK28" s="92"/>
      <c r="AL28" s="91"/>
      <c r="AM28" s="93"/>
      <c r="AN28" s="84"/>
      <c r="AO28" s="114"/>
      <c r="AP28" s="86"/>
      <c r="AQ28" s="82"/>
      <c r="AR28" s="86"/>
      <c r="AS28" s="82"/>
      <c r="AT28" s="87"/>
      <c r="AU28" s="87"/>
      <c r="AV28" s="87"/>
      <c r="AW28" s="87"/>
      <c r="AX28" s="87"/>
      <c r="AY28" t="s">
        <v>156</v>
      </c>
    </row>
    <row r="29" spans="1:51" ht="63" x14ac:dyDescent="0.25">
      <c r="A29" s="497"/>
      <c r="B29" s="115" t="s">
        <v>60</v>
      </c>
      <c r="C29" s="325">
        <v>28</v>
      </c>
      <c r="D29" s="48">
        <v>8</v>
      </c>
      <c r="E29" s="49">
        <v>20</v>
      </c>
      <c r="F29" s="50"/>
      <c r="G29" s="51"/>
      <c r="H29" s="50">
        <v>2</v>
      </c>
      <c r="I29" s="51"/>
      <c r="J29" s="50">
        <v>3</v>
      </c>
      <c r="K29" s="51">
        <v>7</v>
      </c>
      <c r="L29" s="50">
        <v>3</v>
      </c>
      <c r="M29" s="51">
        <v>13</v>
      </c>
      <c r="N29" s="50"/>
      <c r="O29" s="51"/>
      <c r="P29" s="116"/>
      <c r="Q29" s="117"/>
      <c r="R29" s="116"/>
      <c r="S29" s="117"/>
      <c r="T29" s="116"/>
      <c r="U29" s="117"/>
      <c r="V29" s="116"/>
      <c r="W29" s="117"/>
      <c r="X29" s="116"/>
      <c r="Y29" s="117"/>
      <c r="Z29" s="116"/>
      <c r="AA29" s="117"/>
      <c r="AB29" s="116"/>
      <c r="AC29" s="117"/>
      <c r="AD29" s="116"/>
      <c r="AE29" s="117"/>
      <c r="AF29" s="116"/>
      <c r="AG29" s="117"/>
      <c r="AH29" s="116"/>
      <c r="AI29" s="117"/>
      <c r="AJ29" s="116"/>
      <c r="AK29" s="117"/>
      <c r="AL29" s="116"/>
      <c r="AM29" s="118"/>
      <c r="AN29" s="53">
        <v>0</v>
      </c>
      <c r="AO29" s="119"/>
      <c r="AP29" s="55">
        <v>0</v>
      </c>
      <c r="AQ29" s="51">
        <v>0</v>
      </c>
      <c r="AR29" s="55">
        <v>0</v>
      </c>
      <c r="AS29" s="51">
        <v>1</v>
      </c>
      <c r="AT29" s="56">
        <v>0</v>
      </c>
      <c r="AU29" s="56">
        <v>4</v>
      </c>
      <c r="AV29" s="56">
        <v>0</v>
      </c>
      <c r="AW29" s="56">
        <v>0</v>
      </c>
      <c r="AX29" s="56">
        <v>1</v>
      </c>
      <c r="AY29" t="s">
        <v>156</v>
      </c>
    </row>
    <row r="30" spans="1:51" ht="21" x14ac:dyDescent="0.25">
      <c r="A30" s="474" t="s">
        <v>61</v>
      </c>
      <c r="B30" s="111" t="s">
        <v>62</v>
      </c>
      <c r="C30" s="133">
        <v>12</v>
      </c>
      <c r="D30" s="330">
        <v>0</v>
      </c>
      <c r="E30" s="120">
        <v>12</v>
      </c>
      <c r="F30" s="73"/>
      <c r="G30" s="74"/>
      <c r="H30" s="73"/>
      <c r="I30" s="74"/>
      <c r="J30" s="73"/>
      <c r="K30" s="74"/>
      <c r="L30" s="81"/>
      <c r="M30" s="82">
        <v>1</v>
      </c>
      <c r="N30" s="40"/>
      <c r="O30" s="86">
        <v>1</v>
      </c>
      <c r="P30" s="81"/>
      <c r="Q30" s="86">
        <v>1</v>
      </c>
      <c r="R30" s="81"/>
      <c r="S30" s="86">
        <v>1</v>
      </c>
      <c r="T30" s="81"/>
      <c r="U30" s="86"/>
      <c r="V30" s="81"/>
      <c r="W30" s="86">
        <v>1</v>
      </c>
      <c r="X30" s="81"/>
      <c r="Y30" s="86"/>
      <c r="Z30" s="81"/>
      <c r="AA30" s="86">
        <v>3</v>
      </c>
      <c r="AB30" s="81"/>
      <c r="AC30" s="86">
        <v>2</v>
      </c>
      <c r="AD30" s="81"/>
      <c r="AE30" s="86">
        <v>2</v>
      </c>
      <c r="AF30" s="81"/>
      <c r="AG30" s="86"/>
      <c r="AH30" s="81"/>
      <c r="AI30" s="86"/>
      <c r="AJ30" s="81"/>
      <c r="AK30" s="86"/>
      <c r="AL30" s="81"/>
      <c r="AM30" s="42"/>
      <c r="AN30" s="43">
        <v>1</v>
      </c>
      <c r="AO30" s="44">
        <v>1</v>
      </c>
      <c r="AP30" s="86">
        <v>0</v>
      </c>
      <c r="AQ30" s="87">
        <v>1</v>
      </c>
      <c r="AR30" s="86">
        <v>0</v>
      </c>
      <c r="AS30" s="82">
        <v>0</v>
      </c>
      <c r="AT30" s="46">
        <v>0</v>
      </c>
      <c r="AU30" s="46">
        <v>0</v>
      </c>
      <c r="AV30" s="41">
        <v>0</v>
      </c>
      <c r="AW30" s="41">
        <v>0</v>
      </c>
      <c r="AX30" s="41">
        <v>0</v>
      </c>
      <c r="AY30" t="s">
        <v>156</v>
      </c>
    </row>
    <row r="31" spans="1:51" x14ac:dyDescent="0.25">
      <c r="A31" s="475"/>
      <c r="B31" s="121" t="s">
        <v>63</v>
      </c>
      <c r="C31" s="133">
        <v>23</v>
      </c>
      <c r="D31" s="330">
        <v>2</v>
      </c>
      <c r="E31" s="120">
        <v>21</v>
      </c>
      <c r="F31" s="81"/>
      <c r="G31" s="82"/>
      <c r="H31" s="81"/>
      <c r="I31" s="82"/>
      <c r="J31" s="81"/>
      <c r="K31" s="82"/>
      <c r="L31" s="81"/>
      <c r="M31" s="82">
        <v>1</v>
      </c>
      <c r="N31" s="81"/>
      <c r="O31" s="86">
        <v>2</v>
      </c>
      <c r="P31" s="81">
        <v>1</v>
      </c>
      <c r="Q31" s="86">
        <v>2</v>
      </c>
      <c r="R31" s="81"/>
      <c r="S31" s="86">
        <v>6</v>
      </c>
      <c r="T31" s="81"/>
      <c r="U31" s="86">
        <v>1</v>
      </c>
      <c r="V31" s="81"/>
      <c r="W31" s="86">
        <v>1</v>
      </c>
      <c r="X31" s="81"/>
      <c r="Y31" s="86"/>
      <c r="Z31" s="81">
        <v>1</v>
      </c>
      <c r="AA31" s="86"/>
      <c r="AB31" s="81"/>
      <c r="AC31" s="86">
        <v>4</v>
      </c>
      <c r="AD31" s="81"/>
      <c r="AE31" s="86">
        <v>2</v>
      </c>
      <c r="AF31" s="81"/>
      <c r="AG31" s="86">
        <v>2</v>
      </c>
      <c r="AH31" s="81"/>
      <c r="AI31" s="86"/>
      <c r="AJ31" s="81"/>
      <c r="AK31" s="86"/>
      <c r="AL31" s="81"/>
      <c r="AM31" s="83"/>
      <c r="AN31" s="84">
        <v>2</v>
      </c>
      <c r="AO31" s="85">
        <v>3</v>
      </c>
      <c r="AP31" s="86">
        <v>0</v>
      </c>
      <c r="AQ31" s="87">
        <v>1</v>
      </c>
      <c r="AR31" s="86">
        <v>0</v>
      </c>
      <c r="AS31" s="82">
        <v>1</v>
      </c>
      <c r="AT31" s="87">
        <v>0</v>
      </c>
      <c r="AU31" s="87">
        <v>0</v>
      </c>
      <c r="AV31" s="82">
        <v>0</v>
      </c>
      <c r="AW31" s="82">
        <v>0</v>
      </c>
      <c r="AX31" s="82">
        <v>0</v>
      </c>
      <c r="AY31" t="s">
        <v>156</v>
      </c>
    </row>
    <row r="32" spans="1:51" x14ac:dyDescent="0.25">
      <c r="A32" s="475"/>
      <c r="B32" s="122" t="s">
        <v>64</v>
      </c>
      <c r="C32" s="141">
        <v>5</v>
      </c>
      <c r="D32" s="331">
        <v>3</v>
      </c>
      <c r="E32" s="107">
        <v>2</v>
      </c>
      <c r="F32" s="81"/>
      <c r="G32" s="82"/>
      <c r="H32" s="81"/>
      <c r="I32" s="82"/>
      <c r="J32" s="81"/>
      <c r="K32" s="82"/>
      <c r="L32" s="81">
        <v>2</v>
      </c>
      <c r="M32" s="82"/>
      <c r="N32" s="81"/>
      <c r="O32" s="86">
        <v>2</v>
      </c>
      <c r="P32" s="81">
        <v>1</v>
      </c>
      <c r="Q32" s="86"/>
      <c r="R32" s="81"/>
      <c r="S32" s="86"/>
      <c r="T32" s="81"/>
      <c r="U32" s="86"/>
      <c r="V32" s="81"/>
      <c r="W32" s="86"/>
      <c r="X32" s="81"/>
      <c r="Y32" s="86"/>
      <c r="Z32" s="81"/>
      <c r="AA32" s="86"/>
      <c r="AB32" s="81"/>
      <c r="AC32" s="86"/>
      <c r="AD32" s="81"/>
      <c r="AE32" s="86"/>
      <c r="AF32" s="81"/>
      <c r="AG32" s="86"/>
      <c r="AH32" s="81"/>
      <c r="AI32" s="86"/>
      <c r="AJ32" s="81"/>
      <c r="AK32" s="86"/>
      <c r="AL32" s="81"/>
      <c r="AM32" s="83"/>
      <c r="AN32" s="84">
        <v>0</v>
      </c>
      <c r="AO32" s="85">
        <v>0</v>
      </c>
      <c r="AP32" s="86">
        <v>0</v>
      </c>
      <c r="AQ32" s="87">
        <v>1</v>
      </c>
      <c r="AR32" s="86">
        <v>0</v>
      </c>
      <c r="AS32" s="82">
        <v>0</v>
      </c>
      <c r="AT32" s="87">
        <v>0</v>
      </c>
      <c r="AU32" s="87">
        <v>1</v>
      </c>
      <c r="AV32" s="82">
        <v>0</v>
      </c>
      <c r="AW32" s="82">
        <v>0</v>
      </c>
      <c r="AX32" s="82">
        <v>0</v>
      </c>
      <c r="AY32" t="s">
        <v>156</v>
      </c>
    </row>
    <row r="33" spans="1:51" ht="31.5" x14ac:dyDescent="0.25">
      <c r="A33" s="475"/>
      <c r="B33" s="122" t="s">
        <v>65</v>
      </c>
      <c r="C33" s="133">
        <v>53</v>
      </c>
      <c r="D33" s="330">
        <v>14</v>
      </c>
      <c r="E33" s="120">
        <v>39</v>
      </c>
      <c r="F33" s="81"/>
      <c r="G33" s="82"/>
      <c r="H33" s="81"/>
      <c r="I33" s="82"/>
      <c r="J33" s="81"/>
      <c r="K33" s="82">
        <v>1</v>
      </c>
      <c r="L33" s="81">
        <v>1</v>
      </c>
      <c r="M33" s="82"/>
      <c r="N33" s="81"/>
      <c r="O33" s="86">
        <v>3</v>
      </c>
      <c r="P33" s="81">
        <v>2</v>
      </c>
      <c r="Q33" s="86">
        <v>6</v>
      </c>
      <c r="R33" s="81">
        <v>2</v>
      </c>
      <c r="S33" s="86">
        <v>3</v>
      </c>
      <c r="T33" s="81">
        <v>1</v>
      </c>
      <c r="U33" s="86">
        <v>4</v>
      </c>
      <c r="V33" s="81">
        <v>1</v>
      </c>
      <c r="W33" s="86">
        <v>4</v>
      </c>
      <c r="X33" s="81">
        <v>1</v>
      </c>
      <c r="Y33" s="86">
        <v>1</v>
      </c>
      <c r="Z33" s="81">
        <v>1</v>
      </c>
      <c r="AA33" s="86">
        <v>2</v>
      </c>
      <c r="AB33" s="81">
        <v>1</v>
      </c>
      <c r="AC33" s="86">
        <v>4</v>
      </c>
      <c r="AD33" s="81">
        <v>2</v>
      </c>
      <c r="AE33" s="86">
        <v>5</v>
      </c>
      <c r="AF33" s="81">
        <v>2</v>
      </c>
      <c r="AG33" s="86">
        <v>3</v>
      </c>
      <c r="AH33" s="81"/>
      <c r="AI33" s="86">
        <v>3</v>
      </c>
      <c r="AJ33" s="81"/>
      <c r="AK33" s="86"/>
      <c r="AL33" s="81"/>
      <c r="AM33" s="83"/>
      <c r="AN33" s="84">
        <v>0</v>
      </c>
      <c r="AO33" s="85">
        <v>2</v>
      </c>
      <c r="AP33" s="86">
        <v>0</v>
      </c>
      <c r="AQ33" s="87">
        <v>1</v>
      </c>
      <c r="AR33" s="86">
        <v>1</v>
      </c>
      <c r="AS33" s="82">
        <v>0</v>
      </c>
      <c r="AT33" s="87">
        <v>0</v>
      </c>
      <c r="AU33" s="87">
        <v>0</v>
      </c>
      <c r="AV33" s="82">
        <v>0</v>
      </c>
      <c r="AW33" s="82">
        <v>2</v>
      </c>
      <c r="AX33" s="82">
        <v>0</v>
      </c>
      <c r="AY33" t="s">
        <v>156</v>
      </c>
    </row>
    <row r="34" spans="1:51" ht="21" x14ac:dyDescent="0.25">
      <c r="A34" s="445"/>
      <c r="B34" s="115" t="s">
        <v>66</v>
      </c>
      <c r="C34" s="332">
        <v>99</v>
      </c>
      <c r="D34" s="333">
        <v>23</v>
      </c>
      <c r="E34" s="123">
        <v>76</v>
      </c>
      <c r="F34" s="81"/>
      <c r="G34" s="82"/>
      <c r="H34" s="81"/>
      <c r="I34" s="82"/>
      <c r="J34" s="81">
        <v>1</v>
      </c>
      <c r="K34" s="82">
        <v>0</v>
      </c>
      <c r="L34" s="81">
        <v>2</v>
      </c>
      <c r="M34" s="82">
        <v>5</v>
      </c>
      <c r="N34" s="50">
        <v>0</v>
      </c>
      <c r="O34" s="86">
        <v>3</v>
      </c>
      <c r="P34" s="81">
        <v>3</v>
      </c>
      <c r="Q34" s="86">
        <v>7</v>
      </c>
      <c r="R34" s="81">
        <v>2</v>
      </c>
      <c r="S34" s="86">
        <v>6</v>
      </c>
      <c r="T34" s="81">
        <v>2</v>
      </c>
      <c r="U34" s="86">
        <v>3</v>
      </c>
      <c r="V34" s="81">
        <v>1</v>
      </c>
      <c r="W34" s="86">
        <v>2</v>
      </c>
      <c r="X34" s="81">
        <v>2</v>
      </c>
      <c r="Y34" s="86">
        <v>4</v>
      </c>
      <c r="Z34" s="81"/>
      <c r="AA34" s="86">
        <v>4</v>
      </c>
      <c r="AB34" s="81">
        <v>1</v>
      </c>
      <c r="AC34" s="86">
        <v>8</v>
      </c>
      <c r="AD34" s="81">
        <v>1</v>
      </c>
      <c r="AE34" s="86">
        <v>14</v>
      </c>
      <c r="AF34" s="81">
        <v>4</v>
      </c>
      <c r="AG34" s="86">
        <v>9</v>
      </c>
      <c r="AH34" s="81">
        <v>2</v>
      </c>
      <c r="AI34" s="86">
        <v>4</v>
      </c>
      <c r="AJ34" s="81">
        <v>1</v>
      </c>
      <c r="AK34" s="86">
        <v>3</v>
      </c>
      <c r="AL34" s="81">
        <v>1</v>
      </c>
      <c r="AM34" s="52">
        <v>4</v>
      </c>
      <c r="AN34" s="53">
        <v>1</v>
      </c>
      <c r="AO34" s="54">
        <v>3</v>
      </c>
      <c r="AP34" s="55">
        <v>2</v>
      </c>
      <c r="AQ34" s="51">
        <v>5</v>
      </c>
      <c r="AR34" s="55">
        <v>2</v>
      </c>
      <c r="AS34" s="51">
        <v>3</v>
      </c>
      <c r="AT34" s="56">
        <v>0</v>
      </c>
      <c r="AU34" s="56">
        <v>0</v>
      </c>
      <c r="AV34" s="51">
        <v>0</v>
      </c>
      <c r="AW34" s="51">
        <v>1</v>
      </c>
      <c r="AX34" s="51">
        <v>2</v>
      </c>
      <c r="AY34" t="s">
        <v>156</v>
      </c>
    </row>
    <row r="35" spans="1:51" x14ac:dyDescent="0.25">
      <c r="A35" s="474" t="s">
        <v>67</v>
      </c>
      <c r="B35" s="124" t="s">
        <v>68</v>
      </c>
      <c r="C35" s="327">
        <v>21</v>
      </c>
      <c r="D35" s="106">
        <v>6</v>
      </c>
      <c r="E35" s="67">
        <v>15</v>
      </c>
      <c r="F35" s="307"/>
      <c r="G35" s="308"/>
      <c r="H35" s="307"/>
      <c r="I35" s="308"/>
      <c r="J35" s="307"/>
      <c r="K35" s="308"/>
      <c r="L35" s="307"/>
      <c r="M35" s="308"/>
      <c r="N35" s="307"/>
      <c r="O35" s="308"/>
      <c r="P35" s="307"/>
      <c r="Q35" s="308"/>
      <c r="R35" s="40"/>
      <c r="S35" s="41"/>
      <c r="T35" s="40"/>
      <c r="U35" s="41"/>
      <c r="V35" s="40"/>
      <c r="W35" s="41"/>
      <c r="X35" s="40"/>
      <c r="Y35" s="41"/>
      <c r="Z35" s="40"/>
      <c r="AA35" s="41"/>
      <c r="AB35" s="40"/>
      <c r="AC35" s="41"/>
      <c r="AD35" s="40">
        <v>1</v>
      </c>
      <c r="AE35" s="41"/>
      <c r="AF35" s="40">
        <v>2</v>
      </c>
      <c r="AG35" s="41">
        <v>3</v>
      </c>
      <c r="AH35" s="40"/>
      <c r="AI35" s="41">
        <v>5</v>
      </c>
      <c r="AJ35" s="40">
        <v>2</v>
      </c>
      <c r="AK35" s="41">
        <v>2</v>
      </c>
      <c r="AL35" s="40">
        <v>1</v>
      </c>
      <c r="AM35" s="42">
        <v>5</v>
      </c>
      <c r="AN35" s="125"/>
      <c r="AO35" s="126"/>
      <c r="AP35" s="40">
        <v>0</v>
      </c>
      <c r="AQ35" s="46">
        <v>1</v>
      </c>
      <c r="AR35" s="45">
        <v>0</v>
      </c>
      <c r="AS35" s="41">
        <v>0</v>
      </c>
      <c r="AT35" s="309"/>
      <c r="AU35" s="309"/>
      <c r="AV35" s="41">
        <v>21</v>
      </c>
      <c r="AW35" s="41">
        <v>1</v>
      </c>
      <c r="AX35" s="41">
        <v>0</v>
      </c>
      <c r="AY35" t="s">
        <v>156</v>
      </c>
    </row>
    <row r="36" spans="1:51" x14ac:dyDescent="0.25">
      <c r="A36" s="475"/>
      <c r="B36" s="127" t="s">
        <v>69</v>
      </c>
      <c r="C36" s="324">
        <v>35</v>
      </c>
      <c r="D36" s="38">
        <v>10</v>
      </c>
      <c r="E36" s="39">
        <v>25</v>
      </c>
      <c r="F36" s="310"/>
      <c r="G36" s="311"/>
      <c r="H36" s="310"/>
      <c r="I36" s="311"/>
      <c r="J36" s="310"/>
      <c r="K36" s="311"/>
      <c r="L36" s="310"/>
      <c r="M36" s="311"/>
      <c r="N36" s="310"/>
      <c r="O36" s="311"/>
      <c r="P36" s="310"/>
      <c r="Q36" s="311"/>
      <c r="R36" s="73"/>
      <c r="S36" s="74"/>
      <c r="T36" s="73"/>
      <c r="U36" s="74"/>
      <c r="V36" s="73"/>
      <c r="W36" s="74"/>
      <c r="X36" s="73"/>
      <c r="Y36" s="74"/>
      <c r="Z36" s="73"/>
      <c r="AA36" s="74"/>
      <c r="AB36" s="73"/>
      <c r="AC36" s="74"/>
      <c r="AD36" s="73">
        <v>2</v>
      </c>
      <c r="AE36" s="74"/>
      <c r="AF36" s="73">
        <v>1</v>
      </c>
      <c r="AG36" s="74"/>
      <c r="AH36" s="73"/>
      <c r="AI36" s="74"/>
      <c r="AJ36" s="73">
        <v>3</v>
      </c>
      <c r="AK36" s="74">
        <v>2</v>
      </c>
      <c r="AL36" s="73">
        <v>4</v>
      </c>
      <c r="AM36" s="75">
        <v>23</v>
      </c>
      <c r="AN36" s="128"/>
      <c r="AO36" s="129"/>
      <c r="AP36" s="81">
        <v>0</v>
      </c>
      <c r="AQ36" s="87">
        <v>0</v>
      </c>
      <c r="AR36" s="312">
        <v>0</v>
      </c>
      <c r="AS36" s="82">
        <v>0</v>
      </c>
      <c r="AT36" s="313"/>
      <c r="AU36" s="313"/>
      <c r="AV36" s="73">
        <v>35</v>
      </c>
      <c r="AW36" s="73">
        <v>0</v>
      </c>
      <c r="AX36" s="77">
        <v>0</v>
      </c>
      <c r="AY36" t="s">
        <v>156</v>
      </c>
    </row>
    <row r="37" spans="1:51" x14ac:dyDescent="0.25">
      <c r="A37" s="445"/>
      <c r="B37" s="130" t="s">
        <v>70</v>
      </c>
      <c r="C37" s="326">
        <v>16</v>
      </c>
      <c r="D37" s="57">
        <v>7</v>
      </c>
      <c r="E37" s="58">
        <v>9</v>
      </c>
      <c r="F37" s="314"/>
      <c r="G37" s="315"/>
      <c r="H37" s="314"/>
      <c r="I37" s="315"/>
      <c r="J37" s="314"/>
      <c r="K37" s="315"/>
      <c r="L37" s="314"/>
      <c r="M37" s="315"/>
      <c r="N37" s="314"/>
      <c r="O37" s="315"/>
      <c r="P37" s="314"/>
      <c r="Q37" s="315"/>
      <c r="R37" s="59"/>
      <c r="S37" s="60"/>
      <c r="T37" s="59"/>
      <c r="U37" s="60"/>
      <c r="V37" s="59"/>
      <c r="W37" s="60"/>
      <c r="X37" s="59"/>
      <c r="Y37" s="60"/>
      <c r="Z37" s="59"/>
      <c r="AA37" s="60"/>
      <c r="AB37" s="59"/>
      <c r="AC37" s="60"/>
      <c r="AD37" s="59">
        <v>2</v>
      </c>
      <c r="AE37" s="60"/>
      <c r="AF37" s="59"/>
      <c r="AG37" s="60"/>
      <c r="AH37" s="59"/>
      <c r="AI37" s="60"/>
      <c r="AJ37" s="59">
        <v>1</v>
      </c>
      <c r="AK37" s="60">
        <v>3</v>
      </c>
      <c r="AL37" s="59">
        <v>4</v>
      </c>
      <c r="AM37" s="61">
        <v>6</v>
      </c>
      <c r="AN37" s="131"/>
      <c r="AO37" s="132"/>
      <c r="AP37" s="50">
        <v>0</v>
      </c>
      <c r="AQ37" s="56">
        <v>0</v>
      </c>
      <c r="AR37" s="316">
        <v>0</v>
      </c>
      <c r="AS37" s="51">
        <v>0</v>
      </c>
      <c r="AT37" s="70"/>
      <c r="AU37" s="70"/>
      <c r="AV37" s="59">
        <v>16</v>
      </c>
      <c r="AW37" s="59">
        <v>0</v>
      </c>
      <c r="AX37" s="63">
        <v>0</v>
      </c>
      <c r="AY37" t="s">
        <v>156</v>
      </c>
    </row>
    <row r="38" spans="1:51" x14ac:dyDescent="0.25">
      <c r="A38" s="499" t="s">
        <v>71</v>
      </c>
      <c r="B38" s="500"/>
      <c r="C38" s="324">
        <v>0</v>
      </c>
      <c r="D38" s="38">
        <v>0</v>
      </c>
      <c r="E38" s="39">
        <v>0</v>
      </c>
      <c r="F38" s="73">
        <v>0</v>
      </c>
      <c r="G38" s="74">
        <v>0</v>
      </c>
      <c r="H38" s="73"/>
      <c r="I38" s="74"/>
      <c r="J38" s="73"/>
      <c r="K38" s="74"/>
      <c r="L38" s="73"/>
      <c r="M38" s="74"/>
      <c r="N38" s="73"/>
      <c r="O38" s="74"/>
      <c r="P38" s="73"/>
      <c r="Q38" s="74"/>
      <c r="R38" s="73"/>
      <c r="S38" s="74"/>
      <c r="T38" s="73"/>
      <c r="U38" s="74"/>
      <c r="V38" s="73"/>
      <c r="W38" s="74"/>
      <c r="X38" s="73"/>
      <c r="Y38" s="74"/>
      <c r="Z38" s="73"/>
      <c r="AA38" s="74"/>
      <c r="AB38" s="73"/>
      <c r="AC38" s="74"/>
      <c r="AD38" s="73"/>
      <c r="AE38" s="74"/>
      <c r="AF38" s="73"/>
      <c r="AG38" s="74"/>
      <c r="AH38" s="73"/>
      <c r="AI38" s="74"/>
      <c r="AJ38" s="73"/>
      <c r="AK38" s="74"/>
      <c r="AL38" s="73"/>
      <c r="AM38" s="75"/>
      <c r="AN38" s="76"/>
      <c r="AO38" s="77"/>
      <c r="AP38" s="78"/>
      <c r="AQ38" s="74"/>
      <c r="AR38" s="78"/>
      <c r="AS38" s="74"/>
      <c r="AT38" s="79"/>
      <c r="AU38" s="79"/>
      <c r="AV38" s="79"/>
      <c r="AW38" s="79"/>
      <c r="AX38" s="79"/>
      <c r="AY38" t="s">
        <v>156</v>
      </c>
    </row>
    <row r="39" spans="1:51" ht="22.5" x14ac:dyDescent="0.25">
      <c r="A39" s="121" t="s">
        <v>72</v>
      </c>
      <c r="B39" s="120"/>
      <c r="C39" s="324">
        <v>152</v>
      </c>
      <c r="D39" s="38">
        <v>21</v>
      </c>
      <c r="E39" s="39">
        <v>131</v>
      </c>
      <c r="F39" s="73"/>
      <c r="G39" s="74"/>
      <c r="H39" s="73"/>
      <c r="I39" s="74">
        <v>1</v>
      </c>
      <c r="J39" s="73">
        <v>1</v>
      </c>
      <c r="K39" s="74">
        <v>4</v>
      </c>
      <c r="L39" s="73">
        <v>1</v>
      </c>
      <c r="M39" s="74">
        <v>3</v>
      </c>
      <c r="N39" s="73">
        <v>1</v>
      </c>
      <c r="O39" s="74">
        <v>1</v>
      </c>
      <c r="P39" s="73"/>
      <c r="Q39" s="74">
        <v>1</v>
      </c>
      <c r="R39" s="73"/>
      <c r="S39" s="74">
        <v>10</v>
      </c>
      <c r="T39" s="73">
        <v>0</v>
      </c>
      <c r="U39" s="74">
        <v>7</v>
      </c>
      <c r="V39" s="73">
        <v>2</v>
      </c>
      <c r="W39" s="74">
        <v>5</v>
      </c>
      <c r="X39" s="73"/>
      <c r="Y39" s="74">
        <v>4</v>
      </c>
      <c r="Z39" s="73">
        <v>1</v>
      </c>
      <c r="AA39" s="74">
        <v>12</v>
      </c>
      <c r="AB39" s="73">
        <v>2</v>
      </c>
      <c r="AC39" s="74">
        <v>15</v>
      </c>
      <c r="AD39" s="73">
        <v>3</v>
      </c>
      <c r="AE39" s="74">
        <v>28</v>
      </c>
      <c r="AF39" s="73">
        <v>2</v>
      </c>
      <c r="AG39" s="74">
        <v>16</v>
      </c>
      <c r="AH39" s="73">
        <v>1</v>
      </c>
      <c r="AI39" s="74">
        <v>13</v>
      </c>
      <c r="AJ39" s="73">
        <v>6</v>
      </c>
      <c r="AK39" s="74">
        <v>6</v>
      </c>
      <c r="AL39" s="73">
        <v>1</v>
      </c>
      <c r="AM39" s="75">
        <v>5</v>
      </c>
      <c r="AN39" s="76">
        <v>2</v>
      </c>
      <c r="AO39" s="77">
        <v>3</v>
      </c>
      <c r="AP39" s="78">
        <v>5</v>
      </c>
      <c r="AQ39" s="74">
        <v>1</v>
      </c>
      <c r="AR39" s="78">
        <v>4</v>
      </c>
      <c r="AS39" s="74">
        <v>6</v>
      </c>
      <c r="AT39" s="79">
        <v>1</v>
      </c>
      <c r="AU39" s="79">
        <v>4</v>
      </c>
      <c r="AV39" s="79">
        <v>0</v>
      </c>
      <c r="AW39" s="79">
        <v>2</v>
      </c>
      <c r="AX39" s="79">
        <v>1</v>
      </c>
      <c r="AY39" t="s">
        <v>156</v>
      </c>
    </row>
    <row r="40" spans="1:51" x14ac:dyDescent="0.25">
      <c r="A40" s="501" t="s">
        <v>73</v>
      </c>
      <c r="B40" s="501"/>
      <c r="C40" s="329">
        <v>4</v>
      </c>
      <c r="D40" s="108">
        <v>0</v>
      </c>
      <c r="E40" s="90">
        <v>4</v>
      </c>
      <c r="F40" s="81"/>
      <c r="G40" s="82"/>
      <c r="H40" s="81"/>
      <c r="I40" s="82"/>
      <c r="J40" s="81"/>
      <c r="K40" s="82"/>
      <c r="L40" s="81"/>
      <c r="M40" s="82">
        <v>2</v>
      </c>
      <c r="N40" s="81"/>
      <c r="O40" s="82">
        <v>2</v>
      </c>
      <c r="P40" s="81"/>
      <c r="Q40" s="82"/>
      <c r="R40" s="81"/>
      <c r="S40" s="82"/>
      <c r="T40" s="81"/>
      <c r="U40" s="82"/>
      <c r="V40" s="81"/>
      <c r="W40" s="82"/>
      <c r="X40" s="81"/>
      <c r="Y40" s="82"/>
      <c r="Z40" s="81"/>
      <c r="AA40" s="82"/>
      <c r="AB40" s="81"/>
      <c r="AC40" s="82"/>
      <c r="AD40" s="81"/>
      <c r="AE40" s="82"/>
      <c r="AF40" s="81"/>
      <c r="AG40" s="82"/>
      <c r="AH40" s="81"/>
      <c r="AI40" s="82"/>
      <c r="AJ40" s="81"/>
      <c r="AK40" s="82"/>
      <c r="AL40" s="81"/>
      <c r="AM40" s="83"/>
      <c r="AN40" s="84">
        <v>0</v>
      </c>
      <c r="AO40" s="85">
        <v>0</v>
      </c>
      <c r="AP40" s="86">
        <v>0</v>
      </c>
      <c r="AQ40" s="82">
        <v>0</v>
      </c>
      <c r="AR40" s="86">
        <v>0</v>
      </c>
      <c r="AS40" s="82">
        <v>1</v>
      </c>
      <c r="AT40" s="87">
        <v>0</v>
      </c>
      <c r="AU40" s="87">
        <v>0</v>
      </c>
      <c r="AV40" s="87">
        <v>0</v>
      </c>
      <c r="AW40" s="87">
        <v>0</v>
      </c>
      <c r="AX40" s="87">
        <v>0</v>
      </c>
      <c r="AY40" t="s">
        <v>156</v>
      </c>
    </row>
    <row r="41" spans="1:51" x14ac:dyDescent="0.25">
      <c r="A41" s="501" t="s">
        <v>74</v>
      </c>
      <c r="B41" s="501"/>
      <c r="C41" s="329">
        <v>10</v>
      </c>
      <c r="D41" s="108">
        <v>5</v>
      </c>
      <c r="E41" s="90">
        <v>5</v>
      </c>
      <c r="F41" s="81"/>
      <c r="G41" s="82"/>
      <c r="H41" s="81"/>
      <c r="I41" s="82"/>
      <c r="J41" s="81">
        <v>1</v>
      </c>
      <c r="K41" s="82">
        <v>1</v>
      </c>
      <c r="L41" s="81"/>
      <c r="M41" s="82"/>
      <c r="N41" s="81"/>
      <c r="O41" s="82"/>
      <c r="P41" s="81">
        <v>1</v>
      </c>
      <c r="Q41" s="82"/>
      <c r="R41" s="81"/>
      <c r="S41" s="82">
        <v>1</v>
      </c>
      <c r="T41" s="81">
        <v>1</v>
      </c>
      <c r="U41" s="82"/>
      <c r="V41" s="81"/>
      <c r="W41" s="82">
        <v>1</v>
      </c>
      <c r="X41" s="81"/>
      <c r="Y41" s="82">
        <v>1</v>
      </c>
      <c r="Z41" s="81"/>
      <c r="AA41" s="82"/>
      <c r="AB41" s="81">
        <v>1</v>
      </c>
      <c r="AC41" s="82"/>
      <c r="AD41" s="81"/>
      <c r="AE41" s="82"/>
      <c r="AF41" s="81">
        <v>1</v>
      </c>
      <c r="AG41" s="82">
        <v>1</v>
      </c>
      <c r="AH41" s="81"/>
      <c r="AI41" s="82"/>
      <c r="AJ41" s="81"/>
      <c r="AK41" s="82"/>
      <c r="AL41" s="81"/>
      <c r="AM41" s="83"/>
      <c r="AN41" s="84">
        <v>0</v>
      </c>
      <c r="AO41" s="85">
        <v>0</v>
      </c>
      <c r="AP41" s="86">
        <v>1</v>
      </c>
      <c r="AQ41" s="82">
        <v>0</v>
      </c>
      <c r="AR41" s="86">
        <v>0</v>
      </c>
      <c r="AS41" s="82">
        <v>0</v>
      </c>
      <c r="AT41" s="87">
        <v>0</v>
      </c>
      <c r="AU41" s="87">
        <v>0</v>
      </c>
      <c r="AV41" s="87">
        <v>0</v>
      </c>
      <c r="AW41" s="87">
        <v>0</v>
      </c>
      <c r="AX41" s="87">
        <v>0</v>
      </c>
      <c r="AY41" t="s">
        <v>156</v>
      </c>
    </row>
    <row r="42" spans="1:51" x14ac:dyDescent="0.25">
      <c r="A42" s="502" t="s">
        <v>75</v>
      </c>
      <c r="B42" s="502"/>
      <c r="C42" s="325">
        <v>190</v>
      </c>
      <c r="D42" s="48">
        <v>24</v>
      </c>
      <c r="E42" s="49">
        <v>166</v>
      </c>
      <c r="F42" s="50"/>
      <c r="G42" s="51"/>
      <c r="H42" s="50"/>
      <c r="I42" s="51"/>
      <c r="J42" s="50"/>
      <c r="K42" s="51">
        <v>2</v>
      </c>
      <c r="L42" s="50"/>
      <c r="M42" s="51">
        <v>7</v>
      </c>
      <c r="N42" s="50">
        <v>3</v>
      </c>
      <c r="O42" s="51">
        <v>11</v>
      </c>
      <c r="P42" s="50">
        <v>4</v>
      </c>
      <c r="Q42" s="51">
        <v>11</v>
      </c>
      <c r="R42" s="50">
        <v>3</v>
      </c>
      <c r="S42" s="51">
        <v>13</v>
      </c>
      <c r="T42" s="50">
        <v>2</v>
      </c>
      <c r="U42" s="51">
        <v>9</v>
      </c>
      <c r="V42" s="50">
        <v>1</v>
      </c>
      <c r="W42" s="51">
        <v>9</v>
      </c>
      <c r="X42" s="50">
        <v>2</v>
      </c>
      <c r="Y42" s="51">
        <v>5</v>
      </c>
      <c r="Z42" s="50">
        <v>1</v>
      </c>
      <c r="AA42" s="51">
        <v>10</v>
      </c>
      <c r="AB42" s="50">
        <v>1</v>
      </c>
      <c r="AC42" s="51">
        <v>24</v>
      </c>
      <c r="AD42" s="50">
        <v>4</v>
      </c>
      <c r="AE42" s="51">
        <v>22</v>
      </c>
      <c r="AF42" s="50">
        <v>1</v>
      </c>
      <c r="AG42" s="51">
        <v>24</v>
      </c>
      <c r="AH42" s="50">
        <v>2</v>
      </c>
      <c r="AI42" s="51">
        <v>13</v>
      </c>
      <c r="AJ42" s="50"/>
      <c r="AK42" s="51">
        <v>5</v>
      </c>
      <c r="AL42" s="50"/>
      <c r="AM42" s="52">
        <v>1</v>
      </c>
      <c r="AN42" s="53">
        <v>2</v>
      </c>
      <c r="AO42" s="54">
        <v>10</v>
      </c>
      <c r="AP42" s="55">
        <v>1</v>
      </c>
      <c r="AQ42" s="51">
        <v>7</v>
      </c>
      <c r="AR42" s="55">
        <v>1</v>
      </c>
      <c r="AS42" s="51">
        <v>5</v>
      </c>
      <c r="AT42" s="56">
        <v>0</v>
      </c>
      <c r="AU42" s="56">
        <v>0</v>
      </c>
      <c r="AV42" s="56">
        <v>0</v>
      </c>
      <c r="AW42" s="56">
        <v>3</v>
      </c>
      <c r="AX42" s="56">
        <v>0</v>
      </c>
      <c r="AY42" t="s">
        <v>156</v>
      </c>
    </row>
    <row r="43" spans="1:51" x14ac:dyDescent="0.25">
      <c r="A43" s="503" t="s">
        <v>76</v>
      </c>
      <c r="B43" s="133" t="s">
        <v>77</v>
      </c>
      <c r="C43" s="334">
        <v>35</v>
      </c>
      <c r="D43" s="134">
        <v>17</v>
      </c>
      <c r="E43" s="135">
        <v>18</v>
      </c>
      <c r="F43" s="136"/>
      <c r="G43" s="137"/>
      <c r="H43" s="136"/>
      <c r="I43" s="137"/>
      <c r="J43" s="136">
        <v>2</v>
      </c>
      <c r="K43" s="137">
        <v>2</v>
      </c>
      <c r="L43" s="136">
        <v>7</v>
      </c>
      <c r="M43" s="137">
        <v>6</v>
      </c>
      <c r="N43" s="136">
        <v>2</v>
      </c>
      <c r="O43" s="137">
        <v>5</v>
      </c>
      <c r="P43" s="136">
        <v>2</v>
      </c>
      <c r="Q43" s="137">
        <v>2</v>
      </c>
      <c r="R43" s="136"/>
      <c r="S43" s="137">
        <v>1</v>
      </c>
      <c r="T43" s="136">
        <v>2</v>
      </c>
      <c r="U43" s="137"/>
      <c r="V43" s="136">
        <v>1</v>
      </c>
      <c r="W43" s="137">
        <v>1</v>
      </c>
      <c r="X43" s="136"/>
      <c r="Y43" s="137"/>
      <c r="Z43" s="136">
        <v>1</v>
      </c>
      <c r="AA43" s="137"/>
      <c r="AB43" s="136"/>
      <c r="AC43" s="137"/>
      <c r="AD43" s="136"/>
      <c r="AE43" s="137">
        <v>1</v>
      </c>
      <c r="AF43" s="136"/>
      <c r="AG43" s="137"/>
      <c r="AH43" s="136"/>
      <c r="AI43" s="137"/>
      <c r="AJ43" s="136"/>
      <c r="AK43" s="137"/>
      <c r="AL43" s="136"/>
      <c r="AM43" s="138"/>
      <c r="AN43" s="76">
        <v>0</v>
      </c>
      <c r="AO43" s="77">
        <v>0</v>
      </c>
      <c r="AP43" s="78">
        <v>0</v>
      </c>
      <c r="AQ43" s="74">
        <v>1</v>
      </c>
      <c r="AR43" s="139">
        <v>0</v>
      </c>
      <c r="AS43" s="137">
        <v>0</v>
      </c>
      <c r="AT43" s="140">
        <v>0</v>
      </c>
      <c r="AU43" s="140">
        <v>0</v>
      </c>
      <c r="AV43" s="140">
        <v>0</v>
      </c>
      <c r="AW43" s="140">
        <v>0</v>
      </c>
      <c r="AX43" s="140">
        <v>0</v>
      </c>
      <c r="AY43" t="s">
        <v>156</v>
      </c>
    </row>
    <row r="44" spans="1:51" x14ac:dyDescent="0.25">
      <c r="A44" s="504"/>
      <c r="B44" s="141" t="s">
        <v>78</v>
      </c>
      <c r="C44" s="328">
        <v>1</v>
      </c>
      <c r="D44" s="96">
        <v>1</v>
      </c>
      <c r="E44" s="97">
        <v>0</v>
      </c>
      <c r="F44" s="98"/>
      <c r="G44" s="99"/>
      <c r="H44" s="98"/>
      <c r="I44" s="99"/>
      <c r="J44" s="98"/>
      <c r="K44" s="99"/>
      <c r="L44" s="98"/>
      <c r="M44" s="99"/>
      <c r="N44" s="98"/>
      <c r="O44" s="99"/>
      <c r="P44" s="98">
        <v>1</v>
      </c>
      <c r="Q44" s="99"/>
      <c r="R44" s="98"/>
      <c r="S44" s="99"/>
      <c r="T44" s="98"/>
      <c r="U44" s="99"/>
      <c r="V44" s="98"/>
      <c r="W44" s="99"/>
      <c r="X44" s="98"/>
      <c r="Y44" s="99"/>
      <c r="Z44" s="98"/>
      <c r="AA44" s="99"/>
      <c r="AB44" s="98"/>
      <c r="AC44" s="99"/>
      <c r="AD44" s="98"/>
      <c r="AE44" s="99"/>
      <c r="AF44" s="98"/>
      <c r="AG44" s="99"/>
      <c r="AH44" s="98"/>
      <c r="AI44" s="99"/>
      <c r="AJ44" s="98"/>
      <c r="AK44" s="99"/>
      <c r="AL44" s="98"/>
      <c r="AM44" s="100"/>
      <c r="AN44" s="84">
        <v>0</v>
      </c>
      <c r="AO44" s="85">
        <v>0</v>
      </c>
      <c r="AP44" s="86">
        <v>0</v>
      </c>
      <c r="AQ44" s="82">
        <v>0</v>
      </c>
      <c r="AR44" s="103">
        <v>0</v>
      </c>
      <c r="AS44" s="99">
        <v>0</v>
      </c>
      <c r="AT44" s="104">
        <v>0</v>
      </c>
      <c r="AU44" s="104">
        <v>0</v>
      </c>
      <c r="AV44" s="104">
        <v>0</v>
      </c>
      <c r="AW44" s="104">
        <v>0</v>
      </c>
      <c r="AX44" s="104">
        <v>0</v>
      </c>
      <c r="AY44" t="s">
        <v>156</v>
      </c>
    </row>
    <row r="45" spans="1:51" x14ac:dyDescent="0.25">
      <c r="A45" s="504"/>
      <c r="B45" s="141" t="s">
        <v>79</v>
      </c>
      <c r="C45" s="328">
        <v>0</v>
      </c>
      <c r="D45" s="96">
        <v>0</v>
      </c>
      <c r="E45" s="97">
        <v>0</v>
      </c>
      <c r="F45" s="98">
        <v>0</v>
      </c>
      <c r="G45" s="99">
        <v>0</v>
      </c>
      <c r="H45" s="98"/>
      <c r="I45" s="99"/>
      <c r="J45" s="98"/>
      <c r="K45" s="99"/>
      <c r="L45" s="98"/>
      <c r="M45" s="99"/>
      <c r="N45" s="98"/>
      <c r="O45" s="99"/>
      <c r="P45" s="98"/>
      <c r="Q45" s="99"/>
      <c r="R45" s="98"/>
      <c r="S45" s="99"/>
      <c r="T45" s="98"/>
      <c r="U45" s="99"/>
      <c r="V45" s="98"/>
      <c r="W45" s="99"/>
      <c r="X45" s="98"/>
      <c r="Y45" s="99"/>
      <c r="Z45" s="98"/>
      <c r="AA45" s="99"/>
      <c r="AB45" s="98"/>
      <c r="AC45" s="99"/>
      <c r="AD45" s="98"/>
      <c r="AE45" s="99"/>
      <c r="AF45" s="98"/>
      <c r="AG45" s="99"/>
      <c r="AH45" s="98"/>
      <c r="AI45" s="99"/>
      <c r="AJ45" s="98"/>
      <c r="AK45" s="99"/>
      <c r="AL45" s="98"/>
      <c r="AM45" s="100"/>
      <c r="AN45" s="84"/>
      <c r="AO45" s="85"/>
      <c r="AP45" s="86"/>
      <c r="AQ45" s="82"/>
      <c r="AR45" s="103"/>
      <c r="AS45" s="99"/>
      <c r="AT45" s="104"/>
      <c r="AU45" s="104"/>
      <c r="AV45" s="104"/>
      <c r="AW45" s="104"/>
      <c r="AX45" s="104"/>
      <c r="AY45" t="s">
        <v>156</v>
      </c>
    </row>
    <row r="46" spans="1:51" ht="33" x14ac:dyDescent="0.25">
      <c r="A46" s="504"/>
      <c r="B46" s="141" t="s">
        <v>80</v>
      </c>
      <c r="C46" s="328">
        <v>0</v>
      </c>
      <c r="D46" s="96">
        <v>0</v>
      </c>
      <c r="E46" s="97">
        <v>0</v>
      </c>
      <c r="F46" s="98">
        <v>0</v>
      </c>
      <c r="G46" s="99">
        <v>0</v>
      </c>
      <c r="H46" s="98"/>
      <c r="I46" s="99"/>
      <c r="J46" s="98"/>
      <c r="K46" s="99"/>
      <c r="L46" s="98"/>
      <c r="M46" s="99"/>
      <c r="N46" s="98"/>
      <c r="O46" s="99"/>
      <c r="P46" s="98"/>
      <c r="Q46" s="99"/>
      <c r="R46" s="98"/>
      <c r="S46" s="99"/>
      <c r="T46" s="98"/>
      <c r="U46" s="99"/>
      <c r="V46" s="98"/>
      <c r="W46" s="99"/>
      <c r="X46" s="98"/>
      <c r="Y46" s="99"/>
      <c r="Z46" s="98"/>
      <c r="AA46" s="99"/>
      <c r="AB46" s="98"/>
      <c r="AC46" s="99"/>
      <c r="AD46" s="98"/>
      <c r="AE46" s="99"/>
      <c r="AF46" s="98"/>
      <c r="AG46" s="99"/>
      <c r="AH46" s="98"/>
      <c r="AI46" s="99"/>
      <c r="AJ46" s="98"/>
      <c r="AK46" s="99"/>
      <c r="AL46" s="98"/>
      <c r="AM46" s="100"/>
      <c r="AN46" s="84"/>
      <c r="AO46" s="85"/>
      <c r="AP46" s="86"/>
      <c r="AQ46" s="82"/>
      <c r="AR46" s="103"/>
      <c r="AS46" s="99"/>
      <c r="AT46" s="104"/>
      <c r="AU46" s="104"/>
      <c r="AV46" s="104"/>
      <c r="AW46" s="104"/>
      <c r="AX46" s="104"/>
      <c r="AY46" t="s">
        <v>156</v>
      </c>
    </row>
    <row r="47" spans="1:51" ht="43.5" x14ac:dyDescent="0.25">
      <c r="A47" s="505"/>
      <c r="B47" s="142" t="s">
        <v>81</v>
      </c>
      <c r="C47" s="325">
        <v>7</v>
      </c>
      <c r="D47" s="48">
        <v>4</v>
      </c>
      <c r="E47" s="49">
        <v>3</v>
      </c>
      <c r="F47" s="50"/>
      <c r="G47" s="51"/>
      <c r="H47" s="50"/>
      <c r="I47" s="51"/>
      <c r="J47" s="50">
        <v>1</v>
      </c>
      <c r="K47" s="51">
        <v>1</v>
      </c>
      <c r="L47" s="50">
        <v>1</v>
      </c>
      <c r="M47" s="51">
        <v>1</v>
      </c>
      <c r="N47" s="50"/>
      <c r="O47" s="51">
        <v>1</v>
      </c>
      <c r="P47" s="50"/>
      <c r="Q47" s="51"/>
      <c r="R47" s="50">
        <v>1</v>
      </c>
      <c r="S47" s="51"/>
      <c r="T47" s="50">
        <v>1</v>
      </c>
      <c r="U47" s="51"/>
      <c r="V47" s="50"/>
      <c r="W47" s="51"/>
      <c r="X47" s="50"/>
      <c r="Y47" s="51"/>
      <c r="Z47" s="50"/>
      <c r="AA47" s="51"/>
      <c r="AB47" s="50"/>
      <c r="AC47" s="51"/>
      <c r="AD47" s="50"/>
      <c r="AE47" s="51"/>
      <c r="AF47" s="50"/>
      <c r="AG47" s="51"/>
      <c r="AH47" s="50"/>
      <c r="AI47" s="51"/>
      <c r="AJ47" s="50"/>
      <c r="AK47" s="51"/>
      <c r="AL47" s="50"/>
      <c r="AM47" s="52"/>
      <c r="AN47" s="53">
        <v>0</v>
      </c>
      <c r="AO47" s="54">
        <v>0</v>
      </c>
      <c r="AP47" s="55">
        <v>0</v>
      </c>
      <c r="AQ47" s="51">
        <v>0</v>
      </c>
      <c r="AR47" s="55">
        <v>0</v>
      </c>
      <c r="AS47" s="51">
        <v>0</v>
      </c>
      <c r="AT47" s="56">
        <v>0</v>
      </c>
      <c r="AU47" s="56">
        <v>1</v>
      </c>
      <c r="AV47" s="56">
        <v>0</v>
      </c>
      <c r="AW47" s="56">
        <v>1</v>
      </c>
      <c r="AX47" s="56">
        <v>0</v>
      </c>
      <c r="AY47" t="s">
        <v>156</v>
      </c>
    </row>
    <row r="48" spans="1:51" x14ac:dyDescent="0.25">
      <c r="A48" s="143" t="s">
        <v>82</v>
      </c>
      <c r="B48" s="144"/>
      <c r="C48" s="334">
        <v>0</v>
      </c>
      <c r="D48" s="134">
        <v>0</v>
      </c>
      <c r="E48" s="135">
        <v>0</v>
      </c>
      <c r="F48" s="136"/>
      <c r="G48" s="137"/>
      <c r="H48" s="136"/>
      <c r="I48" s="137"/>
      <c r="J48" s="136"/>
      <c r="K48" s="137"/>
      <c r="L48" s="136"/>
      <c r="M48" s="137"/>
      <c r="N48" s="136"/>
      <c r="O48" s="137"/>
      <c r="P48" s="136"/>
      <c r="Q48" s="137"/>
      <c r="R48" s="136"/>
      <c r="S48" s="137"/>
      <c r="T48" s="136"/>
      <c r="U48" s="137"/>
      <c r="V48" s="136"/>
      <c r="W48" s="137"/>
      <c r="X48" s="136"/>
      <c r="Y48" s="137"/>
      <c r="Z48" s="136"/>
      <c r="AA48" s="137"/>
      <c r="AB48" s="136"/>
      <c r="AC48" s="137"/>
      <c r="AD48" s="136"/>
      <c r="AE48" s="137"/>
      <c r="AF48" s="136"/>
      <c r="AG48" s="137"/>
      <c r="AH48" s="136"/>
      <c r="AI48" s="137"/>
      <c r="AJ48" s="136"/>
      <c r="AK48" s="137"/>
      <c r="AL48" s="136"/>
      <c r="AM48" s="138"/>
      <c r="AN48" s="76"/>
      <c r="AO48" s="77"/>
      <c r="AP48" s="139"/>
      <c r="AQ48" s="137"/>
      <c r="AR48" s="139"/>
      <c r="AS48" s="137"/>
      <c r="AT48" s="140"/>
      <c r="AU48" s="140"/>
      <c r="AV48" s="140"/>
      <c r="AW48" s="140"/>
      <c r="AX48" s="140"/>
      <c r="AY48" t="s">
        <v>156</v>
      </c>
    </row>
    <row r="49" spans="1:51" x14ac:dyDescent="0.25">
      <c r="A49" s="484" t="s">
        <v>83</v>
      </c>
      <c r="B49" s="498"/>
      <c r="C49" s="325">
        <v>113</v>
      </c>
      <c r="D49" s="48">
        <v>29</v>
      </c>
      <c r="E49" s="145">
        <v>84</v>
      </c>
      <c r="F49" s="50"/>
      <c r="G49" s="51"/>
      <c r="H49" s="50">
        <v>2</v>
      </c>
      <c r="I49" s="51"/>
      <c r="J49" s="50">
        <v>1</v>
      </c>
      <c r="K49" s="51">
        <v>2</v>
      </c>
      <c r="L49" s="50">
        <v>2</v>
      </c>
      <c r="M49" s="51">
        <v>2</v>
      </c>
      <c r="N49" s="50">
        <v>2</v>
      </c>
      <c r="O49" s="51">
        <v>3</v>
      </c>
      <c r="P49" s="50">
        <v>3</v>
      </c>
      <c r="Q49" s="51">
        <v>1</v>
      </c>
      <c r="R49" s="50"/>
      <c r="S49" s="51">
        <v>2</v>
      </c>
      <c r="T49" s="50"/>
      <c r="U49" s="51">
        <v>1</v>
      </c>
      <c r="V49" s="50">
        <v>2</v>
      </c>
      <c r="W49" s="51">
        <v>2</v>
      </c>
      <c r="X49" s="50">
        <v>1</v>
      </c>
      <c r="Y49" s="51">
        <v>2</v>
      </c>
      <c r="Z49" s="50">
        <v>1</v>
      </c>
      <c r="AA49" s="51">
        <v>7</v>
      </c>
      <c r="AB49" s="50">
        <v>2</v>
      </c>
      <c r="AC49" s="51">
        <v>13</v>
      </c>
      <c r="AD49" s="50">
        <v>2</v>
      </c>
      <c r="AE49" s="51">
        <v>22</v>
      </c>
      <c r="AF49" s="50">
        <v>2</v>
      </c>
      <c r="AG49" s="51">
        <v>10</v>
      </c>
      <c r="AH49" s="50">
        <v>4</v>
      </c>
      <c r="AI49" s="51">
        <v>7</v>
      </c>
      <c r="AJ49" s="50">
        <v>4</v>
      </c>
      <c r="AK49" s="51">
        <v>3</v>
      </c>
      <c r="AL49" s="50">
        <v>1</v>
      </c>
      <c r="AM49" s="52">
        <v>7</v>
      </c>
      <c r="AN49" s="53">
        <v>1</v>
      </c>
      <c r="AO49" s="54">
        <v>2</v>
      </c>
      <c r="AP49" s="55">
        <v>1</v>
      </c>
      <c r="AQ49" s="51">
        <v>1</v>
      </c>
      <c r="AR49" s="55">
        <v>0</v>
      </c>
      <c r="AS49" s="51">
        <v>3</v>
      </c>
      <c r="AT49" s="56">
        <v>0</v>
      </c>
      <c r="AU49" s="56">
        <v>3</v>
      </c>
      <c r="AV49" s="56">
        <v>0</v>
      </c>
      <c r="AW49" s="56">
        <v>0</v>
      </c>
      <c r="AX49" s="56">
        <v>1</v>
      </c>
      <c r="AY49" t="s">
        <v>156</v>
      </c>
    </row>
  </sheetData>
  <mergeCells count="47">
    <mergeCell ref="A49:B49"/>
    <mergeCell ref="A35:A37"/>
    <mergeCell ref="A38:B38"/>
    <mergeCell ref="A40:B40"/>
    <mergeCell ref="A41:B41"/>
    <mergeCell ref="A42:B42"/>
    <mergeCell ref="A43:A47"/>
    <mergeCell ref="A13:A14"/>
    <mergeCell ref="A15:B15"/>
    <mergeCell ref="A16:A20"/>
    <mergeCell ref="A21:A25"/>
    <mergeCell ref="A26:A29"/>
    <mergeCell ref="A30:A34"/>
    <mergeCell ref="AJ2:AK2"/>
    <mergeCell ref="AL2:AM2"/>
    <mergeCell ref="A4:B4"/>
    <mergeCell ref="A5:B5"/>
    <mergeCell ref="A6:A7"/>
    <mergeCell ref="A12:B12"/>
    <mergeCell ref="X2:Y2"/>
    <mergeCell ref="Z2:AA2"/>
    <mergeCell ref="AB2:AC2"/>
    <mergeCell ref="AD2:AE2"/>
    <mergeCell ref="AF2:AG2"/>
    <mergeCell ref="AH2:AI2"/>
    <mergeCell ref="F2:G2"/>
    <mergeCell ref="H2:I2"/>
    <mergeCell ref="J2:K2"/>
    <mergeCell ref="AR1:AS2"/>
    <mergeCell ref="AT1:AT3"/>
    <mergeCell ref="AU1:AU3"/>
    <mergeCell ref="AV1:AV3"/>
    <mergeCell ref="AW1:AX2"/>
    <mergeCell ref="A8:A9"/>
    <mergeCell ref="A10:A11"/>
    <mergeCell ref="AN1:AN3"/>
    <mergeCell ref="AO1:AO3"/>
    <mergeCell ref="AP1:AQ2"/>
    <mergeCell ref="P2:Q2"/>
    <mergeCell ref="R2:S2"/>
    <mergeCell ref="T2:U2"/>
    <mergeCell ref="V2:W2"/>
    <mergeCell ref="L2:M2"/>
    <mergeCell ref="N2:O2"/>
    <mergeCell ref="A1:B3"/>
    <mergeCell ref="C1:E2"/>
    <mergeCell ref="F1:AM1"/>
  </mergeCells>
  <dataValidations count="1">
    <dataValidation type="whole" operator="greaterThanOrEqual" allowBlank="1" showInputMessage="1" showErrorMessage="1" sqref="F4:AX49" xr:uid="{CE0ACCAA-1049-451A-9B8F-31EFBDE891CC}">
      <formula1>0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Y49"/>
  <sheetViews>
    <sheetView topLeftCell="A6" zoomScale="85" zoomScaleNormal="85" workbookViewId="0">
      <selection activeCell="F4" sqref="F4"/>
    </sheetView>
  </sheetViews>
  <sheetFormatPr baseColWidth="10" defaultRowHeight="15" x14ac:dyDescent="0.25"/>
  <sheetData>
    <row r="1" spans="1:51" x14ac:dyDescent="0.25">
      <c r="A1" s="466" t="s">
        <v>0</v>
      </c>
      <c r="B1" s="467"/>
      <c r="C1" s="472" t="s">
        <v>1</v>
      </c>
      <c r="D1" s="472"/>
      <c r="E1" s="472"/>
      <c r="F1" s="472" t="s">
        <v>2</v>
      </c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  <c r="Y1" s="472"/>
      <c r="Z1" s="472"/>
      <c r="AA1" s="472"/>
      <c r="AB1" s="472"/>
      <c r="AC1" s="472"/>
      <c r="AD1" s="472"/>
      <c r="AE1" s="472"/>
      <c r="AF1" s="472"/>
      <c r="AG1" s="472"/>
      <c r="AH1" s="472"/>
      <c r="AI1" s="472"/>
      <c r="AJ1" s="472"/>
      <c r="AK1" s="472"/>
      <c r="AL1" s="472"/>
      <c r="AM1" s="473"/>
      <c r="AN1" s="458" t="s">
        <v>3</v>
      </c>
      <c r="AO1" s="461" t="s">
        <v>4</v>
      </c>
      <c r="AP1" s="428" t="s">
        <v>5</v>
      </c>
      <c r="AQ1" s="429"/>
      <c r="AR1" s="428" t="s">
        <v>6</v>
      </c>
      <c r="AS1" s="429"/>
      <c r="AT1" s="416" t="s">
        <v>7</v>
      </c>
      <c r="AU1" s="416" t="s">
        <v>8</v>
      </c>
      <c r="AV1" s="416" t="s">
        <v>9</v>
      </c>
      <c r="AW1" s="415" t="s">
        <v>10</v>
      </c>
      <c r="AX1" s="416"/>
    </row>
    <row r="2" spans="1:51" x14ac:dyDescent="0.25">
      <c r="A2" s="468"/>
      <c r="B2" s="469"/>
      <c r="C2" s="472"/>
      <c r="D2" s="472"/>
      <c r="E2" s="472"/>
      <c r="F2" s="487" t="s">
        <v>11</v>
      </c>
      <c r="G2" s="473"/>
      <c r="H2" s="472" t="s">
        <v>12</v>
      </c>
      <c r="I2" s="473"/>
      <c r="J2" s="464" t="s">
        <v>13</v>
      </c>
      <c r="K2" s="465"/>
      <c r="L2" s="464" t="s">
        <v>14</v>
      </c>
      <c r="M2" s="465"/>
      <c r="N2" s="464" t="s">
        <v>15</v>
      </c>
      <c r="O2" s="465"/>
      <c r="P2" s="464" t="s">
        <v>16</v>
      </c>
      <c r="Q2" s="465"/>
      <c r="R2" s="464" t="s">
        <v>17</v>
      </c>
      <c r="S2" s="465"/>
      <c r="T2" s="464" t="s">
        <v>18</v>
      </c>
      <c r="U2" s="465"/>
      <c r="V2" s="464" t="s">
        <v>19</v>
      </c>
      <c r="W2" s="465"/>
      <c r="X2" s="464" t="s">
        <v>20</v>
      </c>
      <c r="Y2" s="465"/>
      <c r="Z2" s="464" t="s">
        <v>21</v>
      </c>
      <c r="AA2" s="465"/>
      <c r="AB2" s="464" t="s">
        <v>22</v>
      </c>
      <c r="AC2" s="465"/>
      <c r="AD2" s="464" t="s">
        <v>23</v>
      </c>
      <c r="AE2" s="465"/>
      <c r="AF2" s="476" t="s">
        <v>24</v>
      </c>
      <c r="AG2" s="477"/>
      <c r="AH2" s="476" t="s">
        <v>25</v>
      </c>
      <c r="AI2" s="477"/>
      <c r="AJ2" s="476" t="s">
        <v>26</v>
      </c>
      <c r="AK2" s="477"/>
      <c r="AL2" s="478" t="s">
        <v>27</v>
      </c>
      <c r="AM2" s="479"/>
      <c r="AN2" s="459"/>
      <c r="AO2" s="462"/>
      <c r="AP2" s="430"/>
      <c r="AQ2" s="431"/>
      <c r="AR2" s="430"/>
      <c r="AS2" s="431"/>
      <c r="AT2" s="432"/>
      <c r="AU2" s="432"/>
      <c r="AV2" s="432"/>
      <c r="AW2" s="417"/>
      <c r="AX2" s="418"/>
    </row>
    <row r="3" spans="1:51" ht="21" x14ac:dyDescent="0.25">
      <c r="A3" s="470"/>
      <c r="B3" s="471"/>
      <c r="C3" s="18" t="s">
        <v>28</v>
      </c>
      <c r="D3" s="19" t="s">
        <v>29</v>
      </c>
      <c r="E3" s="20" t="s">
        <v>30</v>
      </c>
      <c r="F3" s="21" t="s">
        <v>29</v>
      </c>
      <c r="G3" s="20" t="s">
        <v>30</v>
      </c>
      <c r="H3" s="21" t="s">
        <v>29</v>
      </c>
      <c r="I3" s="20" t="s">
        <v>30</v>
      </c>
      <c r="J3" s="21" t="s">
        <v>29</v>
      </c>
      <c r="K3" s="20" t="s">
        <v>30</v>
      </c>
      <c r="L3" s="21" t="s">
        <v>29</v>
      </c>
      <c r="M3" s="20" t="s">
        <v>30</v>
      </c>
      <c r="N3" s="21" t="s">
        <v>29</v>
      </c>
      <c r="O3" s="20" t="s">
        <v>30</v>
      </c>
      <c r="P3" s="21" t="s">
        <v>29</v>
      </c>
      <c r="Q3" s="20" t="s">
        <v>30</v>
      </c>
      <c r="R3" s="21" t="s">
        <v>29</v>
      </c>
      <c r="S3" s="20" t="s">
        <v>30</v>
      </c>
      <c r="T3" s="21" t="s">
        <v>29</v>
      </c>
      <c r="U3" s="20" t="s">
        <v>30</v>
      </c>
      <c r="V3" s="21" t="s">
        <v>29</v>
      </c>
      <c r="W3" s="20" t="s">
        <v>30</v>
      </c>
      <c r="X3" s="21" t="s">
        <v>29</v>
      </c>
      <c r="Y3" s="20" t="s">
        <v>30</v>
      </c>
      <c r="Z3" s="21" t="s">
        <v>29</v>
      </c>
      <c r="AA3" s="20" t="s">
        <v>30</v>
      </c>
      <c r="AB3" s="21" t="s">
        <v>29</v>
      </c>
      <c r="AC3" s="20" t="s">
        <v>30</v>
      </c>
      <c r="AD3" s="21" t="s">
        <v>29</v>
      </c>
      <c r="AE3" s="20" t="s">
        <v>30</v>
      </c>
      <c r="AF3" s="22" t="s">
        <v>31</v>
      </c>
      <c r="AG3" s="23" t="s">
        <v>30</v>
      </c>
      <c r="AH3" s="22" t="s">
        <v>31</v>
      </c>
      <c r="AI3" s="23" t="s">
        <v>30</v>
      </c>
      <c r="AJ3" s="22" t="s">
        <v>31</v>
      </c>
      <c r="AK3" s="23" t="s">
        <v>30</v>
      </c>
      <c r="AL3" s="24" t="s">
        <v>29</v>
      </c>
      <c r="AM3" s="25" t="s">
        <v>30</v>
      </c>
      <c r="AN3" s="460"/>
      <c r="AO3" s="463"/>
      <c r="AP3" s="19" t="s">
        <v>29</v>
      </c>
      <c r="AQ3" s="3" t="s">
        <v>30</v>
      </c>
      <c r="AR3" s="19" t="s">
        <v>29</v>
      </c>
      <c r="AS3" s="3" t="s">
        <v>30</v>
      </c>
      <c r="AT3" s="418"/>
      <c r="AU3" s="418"/>
      <c r="AV3" s="418"/>
      <c r="AW3" s="27" t="s">
        <v>32</v>
      </c>
      <c r="AX3" s="27" t="s">
        <v>33</v>
      </c>
    </row>
    <row r="4" spans="1:51" x14ac:dyDescent="0.25">
      <c r="A4" s="480" t="s">
        <v>34</v>
      </c>
      <c r="B4" s="481"/>
      <c r="C4" s="319">
        <v>1320</v>
      </c>
      <c r="D4" s="28">
        <v>329</v>
      </c>
      <c r="E4" s="29">
        <v>991</v>
      </c>
      <c r="F4" s="30">
        <v>0</v>
      </c>
      <c r="G4" s="31">
        <v>1</v>
      </c>
      <c r="H4" s="30">
        <v>20</v>
      </c>
      <c r="I4" s="32">
        <v>5</v>
      </c>
      <c r="J4" s="33">
        <v>30</v>
      </c>
      <c r="K4" s="31">
        <v>30</v>
      </c>
      <c r="L4" s="30">
        <v>33</v>
      </c>
      <c r="M4" s="32">
        <v>63</v>
      </c>
      <c r="N4" s="30">
        <v>16</v>
      </c>
      <c r="O4" s="32">
        <v>38</v>
      </c>
      <c r="P4" s="30">
        <v>33</v>
      </c>
      <c r="Q4" s="32">
        <v>69</v>
      </c>
      <c r="R4" s="30">
        <v>22</v>
      </c>
      <c r="S4" s="32">
        <v>74</v>
      </c>
      <c r="T4" s="30">
        <v>18</v>
      </c>
      <c r="U4" s="32">
        <v>73</v>
      </c>
      <c r="V4" s="30">
        <v>14</v>
      </c>
      <c r="W4" s="32">
        <v>40</v>
      </c>
      <c r="X4" s="33">
        <v>10</v>
      </c>
      <c r="Y4" s="31">
        <v>36</v>
      </c>
      <c r="Z4" s="30">
        <v>10</v>
      </c>
      <c r="AA4" s="32">
        <v>58</v>
      </c>
      <c r="AB4" s="30">
        <v>16</v>
      </c>
      <c r="AC4" s="32">
        <v>110</v>
      </c>
      <c r="AD4" s="30">
        <v>23</v>
      </c>
      <c r="AE4" s="32">
        <v>136</v>
      </c>
      <c r="AF4" s="30">
        <v>27</v>
      </c>
      <c r="AG4" s="32">
        <v>94</v>
      </c>
      <c r="AH4" s="30">
        <v>18</v>
      </c>
      <c r="AI4" s="32">
        <v>61</v>
      </c>
      <c r="AJ4" s="30">
        <v>21</v>
      </c>
      <c r="AK4" s="32">
        <v>42</v>
      </c>
      <c r="AL4" s="33">
        <v>18</v>
      </c>
      <c r="AM4" s="31">
        <v>61</v>
      </c>
      <c r="AN4" s="34">
        <v>11</v>
      </c>
      <c r="AO4" s="35">
        <v>87</v>
      </c>
      <c r="AP4" s="33">
        <v>11</v>
      </c>
      <c r="AQ4" s="32">
        <v>38</v>
      </c>
      <c r="AR4" s="33">
        <v>14</v>
      </c>
      <c r="AS4" s="32">
        <v>30</v>
      </c>
      <c r="AT4" s="36">
        <v>0</v>
      </c>
      <c r="AU4" s="36">
        <v>10</v>
      </c>
      <c r="AV4" s="36">
        <v>74</v>
      </c>
      <c r="AW4" s="36">
        <v>15</v>
      </c>
      <c r="AX4" s="36">
        <v>4</v>
      </c>
      <c r="AY4" t="s">
        <v>156</v>
      </c>
    </row>
    <row r="5" spans="1:51" x14ac:dyDescent="0.25">
      <c r="A5" s="480" t="s">
        <v>35</v>
      </c>
      <c r="B5" s="482"/>
      <c r="C5" s="323"/>
      <c r="D5" s="304"/>
      <c r="E5" s="304"/>
      <c r="F5" s="304"/>
      <c r="G5" s="304"/>
      <c r="H5" s="304"/>
      <c r="I5" s="304"/>
      <c r="J5" s="304"/>
      <c r="K5" s="304"/>
      <c r="L5" s="304"/>
      <c r="M5" s="304"/>
      <c r="N5" s="304"/>
      <c r="O5" s="304"/>
      <c r="P5" s="304"/>
      <c r="Q5" s="304"/>
      <c r="R5" s="304"/>
      <c r="S5" s="304"/>
      <c r="T5" s="304"/>
      <c r="U5" s="304"/>
      <c r="V5" s="304"/>
      <c r="W5" s="304"/>
      <c r="X5" s="304"/>
      <c r="Y5" s="304"/>
      <c r="Z5" s="304"/>
      <c r="AA5" s="304"/>
      <c r="AB5" s="304"/>
      <c r="AC5" s="304"/>
      <c r="AD5" s="304"/>
      <c r="AE5" s="304"/>
      <c r="AF5" s="304"/>
      <c r="AG5" s="304"/>
      <c r="AH5" s="304"/>
      <c r="AI5" s="304"/>
      <c r="AJ5" s="304"/>
      <c r="AK5" s="304"/>
      <c r="AL5" s="304"/>
      <c r="AM5" s="304"/>
      <c r="AN5" s="304"/>
      <c r="AO5" s="304"/>
      <c r="AP5" s="304"/>
      <c r="AQ5" s="304"/>
      <c r="AR5" s="304"/>
      <c r="AS5" s="304"/>
      <c r="AT5" s="304"/>
      <c r="AU5" s="304"/>
      <c r="AV5" s="304"/>
      <c r="AW5" s="304"/>
      <c r="AX5" s="305"/>
    </row>
    <row r="6" spans="1:51" x14ac:dyDescent="0.25">
      <c r="A6" s="483" t="s">
        <v>36</v>
      </c>
      <c r="B6" s="37" t="s">
        <v>37</v>
      </c>
      <c r="C6" s="324">
        <v>7</v>
      </c>
      <c r="D6" s="38">
        <v>0</v>
      </c>
      <c r="E6" s="39">
        <v>7</v>
      </c>
      <c r="F6" s="40">
        <v>0</v>
      </c>
      <c r="G6" s="41">
        <v>0</v>
      </c>
      <c r="H6" s="40">
        <v>0</v>
      </c>
      <c r="I6" s="41">
        <v>0</v>
      </c>
      <c r="J6" s="40">
        <v>0</v>
      </c>
      <c r="K6" s="41">
        <v>0</v>
      </c>
      <c r="L6" s="40">
        <v>0</v>
      </c>
      <c r="M6" s="41">
        <v>0</v>
      </c>
      <c r="N6" s="40">
        <v>0</v>
      </c>
      <c r="O6" s="41">
        <v>0</v>
      </c>
      <c r="P6" s="40">
        <v>0</v>
      </c>
      <c r="Q6" s="41">
        <v>0</v>
      </c>
      <c r="R6" s="40">
        <v>0</v>
      </c>
      <c r="S6" s="41">
        <v>1</v>
      </c>
      <c r="T6" s="40">
        <v>0</v>
      </c>
      <c r="U6" s="41">
        <v>0</v>
      </c>
      <c r="V6" s="40">
        <v>0</v>
      </c>
      <c r="W6" s="41">
        <v>2</v>
      </c>
      <c r="X6" s="40">
        <v>0</v>
      </c>
      <c r="Y6" s="41">
        <v>0</v>
      </c>
      <c r="Z6" s="40">
        <v>0</v>
      </c>
      <c r="AA6" s="41">
        <v>1</v>
      </c>
      <c r="AB6" s="40">
        <v>0</v>
      </c>
      <c r="AC6" s="41">
        <v>0</v>
      </c>
      <c r="AD6" s="40">
        <v>0</v>
      </c>
      <c r="AE6" s="41">
        <v>2</v>
      </c>
      <c r="AF6" s="40">
        <v>0</v>
      </c>
      <c r="AG6" s="41">
        <v>0</v>
      </c>
      <c r="AH6" s="40">
        <v>0</v>
      </c>
      <c r="AI6" s="41">
        <v>0</v>
      </c>
      <c r="AJ6" s="40">
        <v>0</v>
      </c>
      <c r="AK6" s="41">
        <v>0</v>
      </c>
      <c r="AL6" s="40">
        <v>0</v>
      </c>
      <c r="AM6" s="42">
        <v>1</v>
      </c>
      <c r="AN6" s="43">
        <v>0</v>
      </c>
      <c r="AO6" s="44">
        <v>0</v>
      </c>
      <c r="AP6" s="45">
        <v>0</v>
      </c>
      <c r="AQ6" s="41">
        <v>1</v>
      </c>
      <c r="AR6" s="45">
        <v>0</v>
      </c>
      <c r="AS6" s="41">
        <v>0</v>
      </c>
      <c r="AT6" s="46">
        <v>0</v>
      </c>
      <c r="AU6" s="46">
        <v>0</v>
      </c>
      <c r="AV6" s="46">
        <v>7</v>
      </c>
      <c r="AW6" s="46">
        <v>0</v>
      </c>
      <c r="AX6" s="46">
        <v>0</v>
      </c>
      <c r="AY6" t="s">
        <v>156</v>
      </c>
    </row>
    <row r="7" spans="1:51" x14ac:dyDescent="0.25">
      <c r="A7" s="484"/>
      <c r="B7" s="47" t="s">
        <v>38</v>
      </c>
      <c r="C7" s="325">
        <v>0</v>
      </c>
      <c r="D7" s="48">
        <v>0</v>
      </c>
      <c r="E7" s="145">
        <v>0</v>
      </c>
      <c r="F7" s="73"/>
      <c r="G7" s="74"/>
      <c r="H7" s="73"/>
      <c r="I7" s="74"/>
      <c r="J7" s="73"/>
      <c r="K7" s="74"/>
      <c r="L7" s="73"/>
      <c r="M7" s="74"/>
      <c r="N7" s="73"/>
      <c r="O7" s="74"/>
      <c r="P7" s="73"/>
      <c r="Q7" s="74"/>
      <c r="R7" s="73"/>
      <c r="S7" s="74"/>
      <c r="T7" s="73"/>
      <c r="U7" s="74"/>
      <c r="V7" s="73"/>
      <c r="W7" s="74"/>
      <c r="X7" s="73"/>
      <c r="Y7" s="74"/>
      <c r="Z7" s="73"/>
      <c r="AA7" s="74"/>
      <c r="AB7" s="73"/>
      <c r="AC7" s="74"/>
      <c r="AD7" s="73"/>
      <c r="AE7" s="74"/>
      <c r="AF7" s="73"/>
      <c r="AG7" s="74"/>
      <c r="AH7" s="73"/>
      <c r="AI7" s="74"/>
      <c r="AJ7" s="73"/>
      <c r="AK7" s="74"/>
      <c r="AL7" s="73"/>
      <c r="AM7" s="75"/>
      <c r="AN7" s="76"/>
      <c r="AO7" s="77"/>
      <c r="AP7" s="78"/>
      <c r="AQ7" s="74"/>
      <c r="AR7" s="78"/>
      <c r="AS7" s="74"/>
      <c r="AT7" s="79"/>
      <c r="AU7" s="79"/>
      <c r="AV7" s="79"/>
      <c r="AW7" s="79"/>
      <c r="AX7" s="79"/>
      <c r="AY7" t="s">
        <v>156</v>
      </c>
    </row>
    <row r="8" spans="1:51" x14ac:dyDescent="0.25">
      <c r="A8" s="303"/>
      <c r="B8" s="301"/>
      <c r="C8" s="324">
        <v>8</v>
      </c>
      <c r="D8" s="38">
        <v>1</v>
      </c>
      <c r="E8" s="39">
        <v>7</v>
      </c>
      <c r="F8" s="40">
        <v>0</v>
      </c>
      <c r="G8" s="41">
        <v>0</v>
      </c>
      <c r="H8" s="40">
        <v>0</v>
      </c>
      <c r="I8" s="41">
        <v>0</v>
      </c>
      <c r="J8" s="40">
        <v>0</v>
      </c>
      <c r="K8" s="41">
        <v>0</v>
      </c>
      <c r="L8" s="40">
        <v>0</v>
      </c>
      <c r="M8" s="41">
        <v>0</v>
      </c>
      <c r="N8" s="40">
        <v>0</v>
      </c>
      <c r="O8" s="41">
        <v>1</v>
      </c>
      <c r="P8" s="40">
        <v>1</v>
      </c>
      <c r="Q8" s="41">
        <v>2</v>
      </c>
      <c r="R8" s="40">
        <v>0</v>
      </c>
      <c r="S8" s="41">
        <v>0</v>
      </c>
      <c r="T8" s="40">
        <v>0</v>
      </c>
      <c r="U8" s="41">
        <v>0</v>
      </c>
      <c r="V8" s="40">
        <v>0</v>
      </c>
      <c r="W8" s="41">
        <v>0</v>
      </c>
      <c r="X8" s="40">
        <v>0</v>
      </c>
      <c r="Y8" s="41">
        <v>1</v>
      </c>
      <c r="Z8" s="40">
        <v>0</v>
      </c>
      <c r="AA8" s="41">
        <v>1</v>
      </c>
      <c r="AB8" s="40">
        <v>0</v>
      </c>
      <c r="AC8" s="41">
        <v>0</v>
      </c>
      <c r="AD8" s="40">
        <v>0</v>
      </c>
      <c r="AE8" s="41">
        <v>0</v>
      </c>
      <c r="AF8" s="40">
        <v>0</v>
      </c>
      <c r="AG8" s="41">
        <v>2</v>
      </c>
      <c r="AH8" s="40">
        <v>0</v>
      </c>
      <c r="AI8" s="41">
        <v>0</v>
      </c>
      <c r="AJ8" s="40">
        <v>0</v>
      </c>
      <c r="AK8" s="41">
        <v>0</v>
      </c>
      <c r="AL8" s="40">
        <v>0</v>
      </c>
      <c r="AM8" s="42">
        <v>0</v>
      </c>
      <c r="AN8" s="43">
        <v>0</v>
      </c>
      <c r="AO8" s="44">
        <v>0</v>
      </c>
      <c r="AP8" s="45">
        <v>0</v>
      </c>
      <c r="AQ8" s="41">
        <v>1</v>
      </c>
      <c r="AR8" s="45">
        <v>0</v>
      </c>
      <c r="AS8" s="41">
        <v>0</v>
      </c>
      <c r="AT8" s="46">
        <v>0</v>
      </c>
      <c r="AU8" s="46">
        <v>0</v>
      </c>
      <c r="AV8" s="46">
        <v>8</v>
      </c>
      <c r="AW8" s="46">
        <v>1</v>
      </c>
      <c r="AX8" s="46">
        <v>0</v>
      </c>
    </row>
    <row r="9" spans="1:51" x14ac:dyDescent="0.25">
      <c r="A9" s="303"/>
      <c r="B9" s="301"/>
      <c r="C9" s="325">
        <v>0</v>
      </c>
      <c r="D9" s="48">
        <v>0</v>
      </c>
      <c r="E9" s="145">
        <v>0</v>
      </c>
      <c r="F9" s="73"/>
      <c r="G9" s="74"/>
      <c r="H9" s="73"/>
      <c r="I9" s="74"/>
      <c r="J9" s="73"/>
      <c r="K9" s="74"/>
      <c r="L9" s="73"/>
      <c r="M9" s="74"/>
      <c r="N9" s="73"/>
      <c r="O9" s="74"/>
      <c r="P9" s="73"/>
      <c r="Q9" s="74"/>
      <c r="R9" s="73"/>
      <c r="S9" s="74"/>
      <c r="T9" s="73"/>
      <c r="U9" s="74"/>
      <c r="V9" s="73"/>
      <c r="W9" s="74"/>
      <c r="X9" s="73"/>
      <c r="Y9" s="74"/>
      <c r="Z9" s="73"/>
      <c r="AA9" s="74"/>
      <c r="AB9" s="73"/>
      <c r="AC9" s="74"/>
      <c r="AD9" s="73"/>
      <c r="AE9" s="74"/>
      <c r="AF9" s="73"/>
      <c r="AG9" s="74"/>
      <c r="AH9" s="73"/>
      <c r="AI9" s="74"/>
      <c r="AJ9" s="73"/>
      <c r="AK9" s="74"/>
      <c r="AL9" s="73"/>
      <c r="AM9" s="75"/>
      <c r="AN9" s="76"/>
      <c r="AO9" s="77"/>
      <c r="AP9" s="78"/>
      <c r="AQ9" s="74"/>
      <c r="AR9" s="78"/>
      <c r="AS9" s="74"/>
      <c r="AT9" s="79"/>
      <c r="AU9" s="79"/>
      <c r="AV9" s="79"/>
      <c r="AW9" s="79"/>
      <c r="AX9" s="79"/>
    </row>
    <row r="10" spans="1:51" x14ac:dyDescent="0.25">
      <c r="A10" s="303"/>
      <c r="B10" s="301"/>
      <c r="C10" s="324">
        <v>20</v>
      </c>
      <c r="D10" s="38">
        <v>1</v>
      </c>
      <c r="E10" s="39">
        <v>19</v>
      </c>
      <c r="F10" s="40">
        <v>0</v>
      </c>
      <c r="G10" s="41">
        <v>0</v>
      </c>
      <c r="H10" s="40">
        <v>0</v>
      </c>
      <c r="I10" s="41">
        <v>0</v>
      </c>
      <c r="J10" s="40">
        <v>0</v>
      </c>
      <c r="K10" s="41">
        <v>0</v>
      </c>
      <c r="L10" s="40">
        <v>0</v>
      </c>
      <c r="M10" s="41">
        <v>1</v>
      </c>
      <c r="N10" s="40">
        <v>0</v>
      </c>
      <c r="O10" s="41">
        <v>1</v>
      </c>
      <c r="P10" s="40">
        <v>0</v>
      </c>
      <c r="Q10" s="41">
        <v>5</v>
      </c>
      <c r="R10" s="40">
        <v>1</v>
      </c>
      <c r="S10" s="41">
        <v>2</v>
      </c>
      <c r="T10" s="40">
        <v>0</v>
      </c>
      <c r="U10" s="41">
        <v>2</v>
      </c>
      <c r="V10" s="40">
        <v>0</v>
      </c>
      <c r="W10" s="41">
        <v>0</v>
      </c>
      <c r="X10" s="40">
        <v>0</v>
      </c>
      <c r="Y10" s="41">
        <v>2</v>
      </c>
      <c r="Z10" s="40">
        <v>0</v>
      </c>
      <c r="AA10" s="41">
        <v>2</v>
      </c>
      <c r="AB10" s="40">
        <v>0</v>
      </c>
      <c r="AC10" s="41">
        <v>2</v>
      </c>
      <c r="AD10" s="40">
        <v>0</v>
      </c>
      <c r="AE10" s="41">
        <v>0</v>
      </c>
      <c r="AF10" s="40">
        <v>0</v>
      </c>
      <c r="AG10" s="41">
        <v>2</v>
      </c>
      <c r="AH10" s="40">
        <v>0</v>
      </c>
      <c r="AI10" s="41">
        <v>0</v>
      </c>
      <c r="AJ10" s="40">
        <v>0</v>
      </c>
      <c r="AK10" s="41">
        <v>0</v>
      </c>
      <c r="AL10" s="40">
        <v>0</v>
      </c>
      <c r="AM10" s="42">
        <v>0</v>
      </c>
      <c r="AN10" s="43">
        <v>0</v>
      </c>
      <c r="AO10" s="44">
        <v>6</v>
      </c>
      <c r="AP10" s="45">
        <v>0</v>
      </c>
      <c r="AQ10" s="41">
        <v>4</v>
      </c>
      <c r="AR10" s="45">
        <v>0</v>
      </c>
      <c r="AS10" s="41">
        <v>1</v>
      </c>
      <c r="AT10" s="46">
        <v>0</v>
      </c>
      <c r="AU10" s="46">
        <v>0</v>
      </c>
      <c r="AV10" s="46">
        <v>20</v>
      </c>
      <c r="AW10" s="46">
        <v>1</v>
      </c>
      <c r="AX10" s="46">
        <v>0</v>
      </c>
    </row>
    <row r="11" spans="1:51" x14ac:dyDescent="0.25">
      <c r="A11" s="303"/>
      <c r="B11" s="301"/>
      <c r="C11" s="325">
        <v>0</v>
      </c>
      <c r="D11" s="48">
        <v>0</v>
      </c>
      <c r="E11" s="49">
        <v>0</v>
      </c>
      <c r="F11" s="50"/>
      <c r="G11" s="51"/>
      <c r="H11" s="50"/>
      <c r="I11" s="51"/>
      <c r="J11" s="50"/>
      <c r="K11" s="51"/>
      <c r="L11" s="50"/>
      <c r="M11" s="51"/>
      <c r="N11" s="50"/>
      <c r="O11" s="51"/>
      <c r="P11" s="50"/>
      <c r="Q11" s="51"/>
      <c r="R11" s="50"/>
      <c r="S11" s="51"/>
      <c r="T11" s="50"/>
      <c r="U11" s="51"/>
      <c r="V11" s="50"/>
      <c r="W11" s="51"/>
      <c r="X11" s="50"/>
      <c r="Y11" s="51"/>
      <c r="Z11" s="50"/>
      <c r="AA11" s="51"/>
      <c r="AB11" s="50"/>
      <c r="AC11" s="51"/>
      <c r="AD11" s="50"/>
      <c r="AE11" s="51"/>
      <c r="AF11" s="50"/>
      <c r="AG11" s="51"/>
      <c r="AH11" s="50"/>
      <c r="AI11" s="51"/>
      <c r="AJ11" s="50"/>
      <c r="AK11" s="51"/>
      <c r="AL11" s="50"/>
      <c r="AM11" s="52"/>
      <c r="AN11" s="53"/>
      <c r="AO11" s="54"/>
      <c r="AP11" s="55"/>
      <c r="AQ11" s="51"/>
      <c r="AR11" s="55"/>
      <c r="AS11" s="51"/>
      <c r="AT11" s="56"/>
      <c r="AU11" s="56"/>
      <c r="AV11" s="56"/>
      <c r="AW11" s="56"/>
      <c r="AX11" s="56"/>
    </row>
    <row r="12" spans="1:51" x14ac:dyDescent="0.25">
      <c r="A12" s="485" t="s">
        <v>39</v>
      </c>
      <c r="B12" s="486"/>
      <c r="C12" s="326"/>
      <c r="D12" s="57"/>
      <c r="E12" s="58"/>
      <c r="F12" s="59"/>
      <c r="G12" s="60"/>
      <c r="H12" s="59"/>
      <c r="I12" s="60"/>
      <c r="J12" s="59"/>
      <c r="K12" s="60"/>
      <c r="L12" s="59"/>
      <c r="M12" s="60"/>
      <c r="N12" s="59"/>
      <c r="O12" s="60"/>
      <c r="P12" s="59"/>
      <c r="Q12" s="60"/>
      <c r="R12" s="59"/>
      <c r="S12" s="60"/>
      <c r="T12" s="59"/>
      <c r="U12" s="60"/>
      <c r="V12" s="59"/>
      <c r="W12" s="60"/>
      <c r="X12" s="59"/>
      <c r="Y12" s="60"/>
      <c r="Z12" s="59"/>
      <c r="AA12" s="60"/>
      <c r="AB12" s="59"/>
      <c r="AC12" s="60"/>
      <c r="AD12" s="59"/>
      <c r="AE12" s="60"/>
      <c r="AF12" s="59"/>
      <c r="AG12" s="60"/>
      <c r="AH12" s="59"/>
      <c r="AI12" s="60"/>
      <c r="AJ12" s="59"/>
      <c r="AK12" s="60"/>
      <c r="AL12" s="59"/>
      <c r="AM12" s="61"/>
      <c r="AN12" s="62"/>
      <c r="AO12" s="63"/>
      <c r="AP12" s="64"/>
      <c r="AQ12" s="60"/>
      <c r="AR12" s="64"/>
      <c r="AS12" s="60"/>
      <c r="AT12" s="65"/>
      <c r="AU12" s="65"/>
      <c r="AV12" s="65"/>
      <c r="AW12" s="65"/>
      <c r="AX12" s="65"/>
      <c r="AY12" t="s">
        <v>156</v>
      </c>
    </row>
    <row r="13" spans="1:51" x14ac:dyDescent="0.25">
      <c r="A13" s="474" t="s">
        <v>40</v>
      </c>
      <c r="B13" s="66" t="s">
        <v>41</v>
      </c>
      <c r="C13" s="327">
        <v>4</v>
      </c>
      <c r="D13" s="106">
        <v>2</v>
      </c>
      <c r="E13" s="67">
        <v>2</v>
      </c>
      <c r="F13" s="306"/>
      <c r="G13" s="68"/>
      <c r="H13" s="40">
        <v>0</v>
      </c>
      <c r="I13" s="41">
        <v>0</v>
      </c>
      <c r="J13" s="40">
        <v>0</v>
      </c>
      <c r="K13" s="41">
        <v>0</v>
      </c>
      <c r="L13" s="40">
        <v>1</v>
      </c>
      <c r="M13" s="41">
        <v>0</v>
      </c>
      <c r="N13" s="40">
        <v>1</v>
      </c>
      <c r="O13" s="41">
        <v>1</v>
      </c>
      <c r="P13" s="40">
        <v>0</v>
      </c>
      <c r="Q13" s="41">
        <v>0</v>
      </c>
      <c r="R13" s="40">
        <v>0</v>
      </c>
      <c r="S13" s="41">
        <v>0</v>
      </c>
      <c r="T13" s="40">
        <v>0</v>
      </c>
      <c r="U13" s="41">
        <v>1</v>
      </c>
      <c r="V13" s="40">
        <v>0</v>
      </c>
      <c r="W13" s="41">
        <v>0</v>
      </c>
      <c r="X13" s="40">
        <v>0</v>
      </c>
      <c r="Y13" s="41">
        <v>0</v>
      </c>
      <c r="Z13" s="40">
        <v>0</v>
      </c>
      <c r="AA13" s="41">
        <v>0</v>
      </c>
      <c r="AB13" s="40">
        <v>0</v>
      </c>
      <c r="AC13" s="41">
        <v>0</v>
      </c>
      <c r="AD13" s="40">
        <v>0</v>
      </c>
      <c r="AE13" s="41">
        <v>0</v>
      </c>
      <c r="AF13" s="40">
        <v>0</v>
      </c>
      <c r="AG13" s="41">
        <v>0</v>
      </c>
      <c r="AH13" s="40">
        <v>0</v>
      </c>
      <c r="AI13" s="41">
        <v>0</v>
      </c>
      <c r="AJ13" s="40">
        <v>0</v>
      </c>
      <c r="AK13" s="41">
        <v>0</v>
      </c>
      <c r="AL13" s="40">
        <v>0</v>
      </c>
      <c r="AM13" s="42">
        <v>0</v>
      </c>
      <c r="AN13" s="43">
        <v>1</v>
      </c>
      <c r="AO13" s="44">
        <v>0</v>
      </c>
      <c r="AP13" s="45">
        <v>0</v>
      </c>
      <c r="AQ13" s="41">
        <v>0</v>
      </c>
      <c r="AR13" s="45">
        <v>0</v>
      </c>
      <c r="AS13" s="41">
        <v>1</v>
      </c>
      <c r="AT13" s="46">
        <v>0</v>
      </c>
      <c r="AU13" s="46">
        <v>0</v>
      </c>
      <c r="AV13" s="46">
        <v>4</v>
      </c>
      <c r="AW13" s="46">
        <v>0</v>
      </c>
      <c r="AX13" s="46">
        <v>0</v>
      </c>
      <c r="AY13" t="s">
        <v>156</v>
      </c>
    </row>
    <row r="14" spans="1:51" x14ac:dyDescent="0.25">
      <c r="A14" s="445"/>
      <c r="B14" s="69" t="s">
        <v>42</v>
      </c>
      <c r="C14" s="326">
        <v>15</v>
      </c>
      <c r="D14" s="57">
        <v>4</v>
      </c>
      <c r="E14" s="58">
        <v>11</v>
      </c>
      <c r="F14" s="70"/>
      <c r="G14" s="71"/>
      <c r="H14" s="59">
        <v>0</v>
      </c>
      <c r="I14" s="60">
        <v>0</v>
      </c>
      <c r="J14" s="59">
        <v>0</v>
      </c>
      <c r="K14" s="60">
        <v>2</v>
      </c>
      <c r="L14" s="59">
        <v>1</v>
      </c>
      <c r="M14" s="60">
        <v>1</v>
      </c>
      <c r="N14" s="59">
        <v>0</v>
      </c>
      <c r="O14" s="60">
        <v>1</v>
      </c>
      <c r="P14" s="59">
        <v>0</v>
      </c>
      <c r="Q14" s="60">
        <v>0</v>
      </c>
      <c r="R14" s="59">
        <v>0</v>
      </c>
      <c r="S14" s="60">
        <v>0</v>
      </c>
      <c r="T14" s="59">
        <v>0</v>
      </c>
      <c r="U14" s="60">
        <v>3</v>
      </c>
      <c r="V14" s="59">
        <v>1</v>
      </c>
      <c r="W14" s="60">
        <v>1</v>
      </c>
      <c r="X14" s="59">
        <v>1</v>
      </c>
      <c r="Y14" s="60">
        <v>0</v>
      </c>
      <c r="Z14" s="59">
        <v>0</v>
      </c>
      <c r="AA14" s="60">
        <v>3</v>
      </c>
      <c r="AB14" s="59">
        <v>0</v>
      </c>
      <c r="AC14" s="60">
        <v>0</v>
      </c>
      <c r="AD14" s="59">
        <v>0</v>
      </c>
      <c r="AE14" s="60">
        <v>0</v>
      </c>
      <c r="AF14" s="59">
        <v>1</v>
      </c>
      <c r="AG14" s="60">
        <v>0</v>
      </c>
      <c r="AH14" s="59">
        <v>0</v>
      </c>
      <c r="AI14" s="60">
        <v>0</v>
      </c>
      <c r="AJ14" s="59">
        <v>0</v>
      </c>
      <c r="AK14" s="60">
        <v>0</v>
      </c>
      <c r="AL14" s="59">
        <v>0</v>
      </c>
      <c r="AM14" s="61">
        <v>0</v>
      </c>
      <c r="AN14" s="62">
        <v>2</v>
      </c>
      <c r="AO14" s="63">
        <v>0</v>
      </c>
      <c r="AP14" s="64">
        <v>0</v>
      </c>
      <c r="AQ14" s="60">
        <v>0</v>
      </c>
      <c r="AR14" s="64">
        <v>0</v>
      </c>
      <c r="AS14" s="60">
        <v>0</v>
      </c>
      <c r="AT14" s="65">
        <v>0</v>
      </c>
      <c r="AU14" s="65">
        <v>0</v>
      </c>
      <c r="AV14" s="65">
        <v>15</v>
      </c>
      <c r="AW14" s="65">
        <v>0</v>
      </c>
      <c r="AX14" s="65">
        <v>1</v>
      </c>
      <c r="AY14" t="s">
        <v>156</v>
      </c>
    </row>
    <row r="15" spans="1:51" x14ac:dyDescent="0.25">
      <c r="A15" s="480" t="s">
        <v>43</v>
      </c>
      <c r="B15" s="488"/>
      <c r="C15" s="319">
        <v>1290</v>
      </c>
      <c r="D15" s="28">
        <v>327</v>
      </c>
      <c r="E15" s="29">
        <v>963</v>
      </c>
      <c r="F15" s="30">
        <v>0</v>
      </c>
      <c r="G15" s="30">
        <v>1</v>
      </c>
      <c r="H15" s="30">
        <v>20</v>
      </c>
      <c r="I15" s="30">
        <v>5</v>
      </c>
      <c r="J15" s="30">
        <v>30</v>
      </c>
      <c r="K15" s="30">
        <v>30</v>
      </c>
      <c r="L15" s="30">
        <v>33</v>
      </c>
      <c r="M15" s="30">
        <v>62</v>
      </c>
      <c r="N15" s="30">
        <v>16</v>
      </c>
      <c r="O15" s="30">
        <v>36</v>
      </c>
      <c r="P15" s="30">
        <v>32</v>
      </c>
      <c r="Q15" s="30">
        <v>62</v>
      </c>
      <c r="R15" s="30">
        <v>21</v>
      </c>
      <c r="S15" s="30">
        <v>71</v>
      </c>
      <c r="T15" s="30">
        <v>18</v>
      </c>
      <c r="U15" s="30">
        <v>72</v>
      </c>
      <c r="V15" s="30">
        <v>14</v>
      </c>
      <c r="W15" s="30">
        <v>38</v>
      </c>
      <c r="X15" s="30">
        <v>10</v>
      </c>
      <c r="Y15" s="30">
        <v>34</v>
      </c>
      <c r="Z15" s="30">
        <v>10</v>
      </c>
      <c r="AA15" s="30">
        <v>54</v>
      </c>
      <c r="AB15" s="30">
        <v>16</v>
      </c>
      <c r="AC15" s="30">
        <v>110</v>
      </c>
      <c r="AD15" s="30">
        <v>23</v>
      </c>
      <c r="AE15" s="30">
        <v>134</v>
      </c>
      <c r="AF15" s="30">
        <v>27</v>
      </c>
      <c r="AG15" s="30">
        <v>91</v>
      </c>
      <c r="AH15" s="30">
        <v>18</v>
      </c>
      <c r="AI15" s="30">
        <v>61</v>
      </c>
      <c r="AJ15" s="30">
        <v>21</v>
      </c>
      <c r="AK15" s="30">
        <v>42</v>
      </c>
      <c r="AL15" s="30">
        <v>18</v>
      </c>
      <c r="AM15" s="30">
        <v>60</v>
      </c>
      <c r="AN15" s="30">
        <v>11</v>
      </c>
      <c r="AO15" s="30">
        <v>87</v>
      </c>
      <c r="AP15" s="30">
        <v>11</v>
      </c>
      <c r="AQ15" s="30">
        <v>38</v>
      </c>
      <c r="AR15" s="30">
        <v>14</v>
      </c>
      <c r="AS15" s="30">
        <v>30</v>
      </c>
      <c r="AT15" s="30">
        <v>0</v>
      </c>
      <c r="AU15" s="30">
        <v>10</v>
      </c>
      <c r="AV15" s="30">
        <v>74</v>
      </c>
      <c r="AW15" s="30">
        <v>15</v>
      </c>
      <c r="AX15" s="30">
        <v>4</v>
      </c>
      <c r="AY15" t="s">
        <v>156</v>
      </c>
    </row>
    <row r="16" spans="1:51" ht="21" x14ac:dyDescent="0.25">
      <c r="A16" s="489" t="s">
        <v>44</v>
      </c>
      <c r="B16" s="37" t="s">
        <v>45</v>
      </c>
      <c r="C16" s="324">
        <v>82</v>
      </c>
      <c r="D16" s="38">
        <v>10</v>
      </c>
      <c r="E16" s="39">
        <v>72</v>
      </c>
      <c r="F16" s="73">
        <v>0</v>
      </c>
      <c r="G16" s="74">
        <v>0</v>
      </c>
      <c r="H16" s="73">
        <v>0</v>
      </c>
      <c r="I16" s="74">
        <v>0</v>
      </c>
      <c r="J16" s="73">
        <v>1</v>
      </c>
      <c r="K16" s="74">
        <v>1</v>
      </c>
      <c r="L16" s="73">
        <v>0</v>
      </c>
      <c r="M16" s="74">
        <v>4</v>
      </c>
      <c r="N16" s="73">
        <v>0</v>
      </c>
      <c r="O16" s="74">
        <v>3</v>
      </c>
      <c r="P16" s="73">
        <v>3</v>
      </c>
      <c r="Q16" s="74">
        <v>4</v>
      </c>
      <c r="R16" s="73">
        <v>0</v>
      </c>
      <c r="S16" s="74">
        <v>6</v>
      </c>
      <c r="T16" s="73">
        <v>1</v>
      </c>
      <c r="U16" s="74">
        <v>8</v>
      </c>
      <c r="V16" s="73">
        <v>0</v>
      </c>
      <c r="W16" s="74">
        <v>0</v>
      </c>
      <c r="X16" s="73">
        <v>0</v>
      </c>
      <c r="Y16" s="74">
        <v>2</v>
      </c>
      <c r="Z16" s="73">
        <v>0</v>
      </c>
      <c r="AA16" s="74">
        <v>4</v>
      </c>
      <c r="AB16" s="73">
        <v>0</v>
      </c>
      <c r="AC16" s="74">
        <v>10</v>
      </c>
      <c r="AD16" s="73">
        <v>1</v>
      </c>
      <c r="AE16" s="74">
        <v>8</v>
      </c>
      <c r="AF16" s="73">
        <v>2</v>
      </c>
      <c r="AG16" s="74">
        <v>6</v>
      </c>
      <c r="AH16" s="73">
        <v>1</v>
      </c>
      <c r="AI16" s="74">
        <v>6</v>
      </c>
      <c r="AJ16" s="73">
        <v>0</v>
      </c>
      <c r="AK16" s="74">
        <v>5</v>
      </c>
      <c r="AL16" s="73">
        <v>1</v>
      </c>
      <c r="AM16" s="75">
        <v>5</v>
      </c>
      <c r="AN16" s="76">
        <v>0</v>
      </c>
      <c r="AO16" s="77">
        <v>10</v>
      </c>
      <c r="AP16" s="78">
        <v>0</v>
      </c>
      <c r="AQ16" s="74">
        <v>5</v>
      </c>
      <c r="AR16" s="78">
        <v>0</v>
      </c>
      <c r="AS16" s="74">
        <v>1</v>
      </c>
      <c r="AT16" s="79">
        <v>0</v>
      </c>
      <c r="AU16" s="79">
        <v>0</v>
      </c>
      <c r="AV16" s="79">
        <v>0</v>
      </c>
      <c r="AW16" s="79">
        <v>1</v>
      </c>
      <c r="AX16" s="79">
        <v>0</v>
      </c>
      <c r="AY16" t="s">
        <v>156</v>
      </c>
    </row>
    <row r="17" spans="1:51" ht="21" x14ac:dyDescent="0.25">
      <c r="A17" s="490"/>
      <c r="B17" s="80" t="s">
        <v>46</v>
      </c>
      <c r="C17" s="324">
        <v>185</v>
      </c>
      <c r="D17" s="38">
        <v>40</v>
      </c>
      <c r="E17" s="39">
        <v>145</v>
      </c>
      <c r="F17" s="81">
        <v>0</v>
      </c>
      <c r="G17" s="82">
        <v>0</v>
      </c>
      <c r="H17" s="81">
        <v>0</v>
      </c>
      <c r="I17" s="82">
        <v>0</v>
      </c>
      <c r="J17" s="81">
        <v>2</v>
      </c>
      <c r="K17" s="82">
        <v>1</v>
      </c>
      <c r="L17" s="81">
        <v>6</v>
      </c>
      <c r="M17" s="82">
        <v>5</v>
      </c>
      <c r="N17" s="81">
        <v>2</v>
      </c>
      <c r="O17" s="82">
        <v>5</v>
      </c>
      <c r="P17" s="81">
        <v>4</v>
      </c>
      <c r="Q17" s="82">
        <v>11</v>
      </c>
      <c r="R17" s="81">
        <v>2</v>
      </c>
      <c r="S17" s="82">
        <v>12</v>
      </c>
      <c r="T17" s="81">
        <v>5</v>
      </c>
      <c r="U17" s="82">
        <v>16</v>
      </c>
      <c r="V17" s="81">
        <v>2</v>
      </c>
      <c r="W17" s="82">
        <v>12</v>
      </c>
      <c r="X17" s="81">
        <v>2</v>
      </c>
      <c r="Y17" s="82">
        <v>5</v>
      </c>
      <c r="Z17" s="81">
        <v>2</v>
      </c>
      <c r="AA17" s="82">
        <v>8</v>
      </c>
      <c r="AB17" s="81">
        <v>3</v>
      </c>
      <c r="AC17" s="82">
        <v>26</v>
      </c>
      <c r="AD17" s="81">
        <v>3</v>
      </c>
      <c r="AE17" s="82">
        <v>17</v>
      </c>
      <c r="AF17" s="81">
        <v>5</v>
      </c>
      <c r="AG17" s="82">
        <v>12</v>
      </c>
      <c r="AH17" s="81">
        <v>1</v>
      </c>
      <c r="AI17" s="82">
        <v>8</v>
      </c>
      <c r="AJ17" s="81">
        <v>0</v>
      </c>
      <c r="AK17" s="82">
        <v>4</v>
      </c>
      <c r="AL17" s="81">
        <v>1</v>
      </c>
      <c r="AM17" s="83">
        <v>3</v>
      </c>
      <c r="AN17" s="84">
        <v>1</v>
      </c>
      <c r="AO17" s="85">
        <v>22</v>
      </c>
      <c r="AP17" s="86">
        <v>1</v>
      </c>
      <c r="AQ17" s="82">
        <v>6</v>
      </c>
      <c r="AR17" s="86">
        <v>2</v>
      </c>
      <c r="AS17" s="82">
        <v>7</v>
      </c>
      <c r="AT17" s="87">
        <v>0</v>
      </c>
      <c r="AU17" s="87">
        <v>0</v>
      </c>
      <c r="AV17" s="87">
        <v>0</v>
      </c>
      <c r="AW17" s="87">
        <v>1</v>
      </c>
      <c r="AX17" s="87">
        <v>0</v>
      </c>
      <c r="AY17" t="s">
        <v>156</v>
      </c>
    </row>
    <row r="18" spans="1:51" ht="21" x14ac:dyDescent="0.25">
      <c r="A18" s="490"/>
      <c r="B18" s="80" t="s">
        <v>47</v>
      </c>
      <c r="C18" s="324">
        <v>54</v>
      </c>
      <c r="D18" s="38">
        <v>18</v>
      </c>
      <c r="E18" s="39">
        <v>36</v>
      </c>
      <c r="F18" s="81">
        <v>0</v>
      </c>
      <c r="G18" s="82">
        <v>0</v>
      </c>
      <c r="H18" s="81">
        <v>0</v>
      </c>
      <c r="I18" s="82">
        <v>0</v>
      </c>
      <c r="J18" s="81">
        <v>0</v>
      </c>
      <c r="K18" s="82">
        <v>2</v>
      </c>
      <c r="L18" s="81">
        <v>2</v>
      </c>
      <c r="M18" s="82">
        <v>3</v>
      </c>
      <c r="N18" s="81">
        <v>1</v>
      </c>
      <c r="O18" s="82">
        <v>1</v>
      </c>
      <c r="P18" s="81">
        <v>2</v>
      </c>
      <c r="Q18" s="82">
        <v>4</v>
      </c>
      <c r="R18" s="81">
        <v>2</v>
      </c>
      <c r="S18" s="82">
        <v>3</v>
      </c>
      <c r="T18" s="81">
        <v>0</v>
      </c>
      <c r="U18" s="82">
        <v>3</v>
      </c>
      <c r="V18" s="81">
        <v>0</v>
      </c>
      <c r="W18" s="82">
        <v>6</v>
      </c>
      <c r="X18" s="81">
        <v>2</v>
      </c>
      <c r="Y18" s="82">
        <v>1</v>
      </c>
      <c r="Z18" s="81">
        <v>1</v>
      </c>
      <c r="AA18" s="82">
        <v>2</v>
      </c>
      <c r="AB18" s="81">
        <v>2</v>
      </c>
      <c r="AC18" s="82">
        <v>4</v>
      </c>
      <c r="AD18" s="81">
        <v>2</v>
      </c>
      <c r="AE18" s="82">
        <v>4</v>
      </c>
      <c r="AF18" s="81">
        <v>2</v>
      </c>
      <c r="AG18" s="82">
        <v>1</v>
      </c>
      <c r="AH18" s="81">
        <v>0</v>
      </c>
      <c r="AI18" s="82">
        <v>1</v>
      </c>
      <c r="AJ18" s="81">
        <v>2</v>
      </c>
      <c r="AK18" s="82">
        <v>0</v>
      </c>
      <c r="AL18" s="81">
        <v>0</v>
      </c>
      <c r="AM18" s="83">
        <v>1</v>
      </c>
      <c r="AN18" s="84">
        <v>0</v>
      </c>
      <c r="AO18" s="85">
        <v>3</v>
      </c>
      <c r="AP18" s="86">
        <v>0</v>
      </c>
      <c r="AQ18" s="82">
        <v>2</v>
      </c>
      <c r="AR18" s="86">
        <v>0</v>
      </c>
      <c r="AS18" s="82">
        <v>2</v>
      </c>
      <c r="AT18" s="87">
        <v>0</v>
      </c>
      <c r="AU18" s="87">
        <v>1</v>
      </c>
      <c r="AV18" s="87">
        <v>1</v>
      </c>
      <c r="AW18" s="87">
        <v>0</v>
      </c>
      <c r="AX18" s="87">
        <v>0</v>
      </c>
      <c r="AY18" t="s">
        <v>156</v>
      </c>
    </row>
    <row r="19" spans="1:51" ht="31.5" x14ac:dyDescent="0.25">
      <c r="A19" s="491"/>
      <c r="B19" s="88" t="s">
        <v>48</v>
      </c>
      <c r="C19" s="324">
        <v>7</v>
      </c>
      <c r="D19" s="89"/>
      <c r="E19" s="90">
        <v>7</v>
      </c>
      <c r="F19" s="91"/>
      <c r="G19" s="92"/>
      <c r="H19" s="91"/>
      <c r="I19" s="92"/>
      <c r="J19" s="91"/>
      <c r="K19" s="82"/>
      <c r="L19" s="91"/>
      <c r="M19" s="82"/>
      <c r="N19" s="91"/>
      <c r="O19" s="82">
        <v>2</v>
      </c>
      <c r="P19" s="91"/>
      <c r="Q19" s="82"/>
      <c r="R19" s="91"/>
      <c r="S19" s="82">
        <v>4</v>
      </c>
      <c r="T19" s="91"/>
      <c r="U19" s="82">
        <v>1</v>
      </c>
      <c r="V19" s="91"/>
      <c r="W19" s="82"/>
      <c r="X19" s="91"/>
      <c r="Y19" s="82"/>
      <c r="Z19" s="91"/>
      <c r="AA19" s="82"/>
      <c r="AB19" s="91"/>
      <c r="AC19" s="82"/>
      <c r="AD19" s="91"/>
      <c r="AE19" s="92"/>
      <c r="AF19" s="91"/>
      <c r="AG19" s="92"/>
      <c r="AH19" s="91"/>
      <c r="AI19" s="92"/>
      <c r="AJ19" s="91"/>
      <c r="AK19" s="92"/>
      <c r="AL19" s="91"/>
      <c r="AM19" s="93"/>
      <c r="AN19" s="94"/>
      <c r="AO19" s="85">
        <v>7</v>
      </c>
      <c r="AP19" s="89"/>
      <c r="AQ19" s="82">
        <v>1</v>
      </c>
      <c r="AR19" s="89"/>
      <c r="AS19" s="82">
        <v>0</v>
      </c>
      <c r="AT19" s="87">
        <v>0</v>
      </c>
      <c r="AU19" s="87">
        <v>0</v>
      </c>
      <c r="AV19" s="87">
        <v>0</v>
      </c>
      <c r="AW19" s="87">
        <v>1</v>
      </c>
      <c r="AX19" s="95"/>
      <c r="AY19" t="s">
        <v>156</v>
      </c>
    </row>
    <row r="20" spans="1:51" ht="21" x14ac:dyDescent="0.25">
      <c r="A20" s="492"/>
      <c r="B20" s="47" t="s">
        <v>49</v>
      </c>
      <c r="C20" s="328">
        <v>17</v>
      </c>
      <c r="D20" s="96">
        <v>7</v>
      </c>
      <c r="E20" s="97">
        <v>10</v>
      </c>
      <c r="F20" s="98">
        <v>0</v>
      </c>
      <c r="G20" s="99">
        <v>0</v>
      </c>
      <c r="H20" s="98">
        <v>0</v>
      </c>
      <c r="I20" s="99">
        <v>0</v>
      </c>
      <c r="J20" s="98">
        <v>0</v>
      </c>
      <c r="K20" s="99">
        <v>0</v>
      </c>
      <c r="L20" s="98">
        <v>0</v>
      </c>
      <c r="M20" s="99">
        <v>0</v>
      </c>
      <c r="N20" s="98">
        <v>1</v>
      </c>
      <c r="O20" s="99">
        <v>1</v>
      </c>
      <c r="P20" s="98">
        <v>0</v>
      </c>
      <c r="Q20" s="99">
        <v>2</v>
      </c>
      <c r="R20" s="98">
        <v>1</v>
      </c>
      <c r="S20" s="99">
        <v>1</v>
      </c>
      <c r="T20" s="98">
        <v>1</v>
      </c>
      <c r="U20" s="99">
        <v>1</v>
      </c>
      <c r="V20" s="98">
        <v>1</v>
      </c>
      <c r="W20" s="99">
        <v>0</v>
      </c>
      <c r="X20" s="98">
        <v>0</v>
      </c>
      <c r="Y20" s="99">
        <v>0</v>
      </c>
      <c r="Z20" s="98">
        <v>1</v>
      </c>
      <c r="AA20" s="99">
        <v>1</v>
      </c>
      <c r="AB20" s="98">
        <v>1</v>
      </c>
      <c r="AC20" s="99">
        <v>1</v>
      </c>
      <c r="AD20" s="98">
        <v>1</v>
      </c>
      <c r="AE20" s="99">
        <v>2</v>
      </c>
      <c r="AF20" s="98">
        <v>0</v>
      </c>
      <c r="AG20" s="99">
        <v>0</v>
      </c>
      <c r="AH20" s="98">
        <v>0</v>
      </c>
      <c r="AI20" s="99">
        <v>0</v>
      </c>
      <c r="AJ20" s="98">
        <v>0</v>
      </c>
      <c r="AK20" s="99">
        <v>1</v>
      </c>
      <c r="AL20" s="98">
        <v>0</v>
      </c>
      <c r="AM20" s="100">
        <v>0</v>
      </c>
      <c r="AN20" s="101">
        <v>0</v>
      </c>
      <c r="AO20" s="102">
        <v>2</v>
      </c>
      <c r="AP20" s="103">
        <v>0</v>
      </c>
      <c r="AQ20" s="99">
        <v>0</v>
      </c>
      <c r="AR20" s="103">
        <v>0</v>
      </c>
      <c r="AS20" s="99">
        <v>0</v>
      </c>
      <c r="AT20" s="104">
        <v>0</v>
      </c>
      <c r="AU20" s="104">
        <v>0</v>
      </c>
      <c r="AV20" s="104">
        <v>0</v>
      </c>
      <c r="AW20" s="104">
        <v>0</v>
      </c>
      <c r="AX20" s="104">
        <v>1</v>
      </c>
      <c r="AY20" t="s">
        <v>156</v>
      </c>
    </row>
    <row r="21" spans="1:51" ht="43.5" x14ac:dyDescent="0.25">
      <c r="A21" s="489" t="s">
        <v>50</v>
      </c>
      <c r="B21" s="105" t="s">
        <v>51</v>
      </c>
      <c r="C21" s="327">
        <v>20</v>
      </c>
      <c r="D21" s="106">
        <v>13</v>
      </c>
      <c r="E21" s="67">
        <v>7</v>
      </c>
      <c r="F21" s="40">
        <v>0</v>
      </c>
      <c r="G21" s="41">
        <v>0</v>
      </c>
      <c r="H21" s="40">
        <v>0</v>
      </c>
      <c r="I21" s="41">
        <v>0</v>
      </c>
      <c r="J21" s="40">
        <v>0</v>
      </c>
      <c r="K21" s="41">
        <v>0</v>
      </c>
      <c r="L21" s="40">
        <v>0</v>
      </c>
      <c r="M21" s="41">
        <v>0</v>
      </c>
      <c r="N21" s="40">
        <v>1</v>
      </c>
      <c r="O21" s="41">
        <v>0</v>
      </c>
      <c r="P21" s="40">
        <v>0</v>
      </c>
      <c r="Q21" s="41">
        <v>0</v>
      </c>
      <c r="R21" s="40">
        <v>1</v>
      </c>
      <c r="S21" s="41">
        <v>0</v>
      </c>
      <c r="T21" s="40">
        <v>0</v>
      </c>
      <c r="U21" s="41">
        <v>3</v>
      </c>
      <c r="V21" s="40">
        <v>1</v>
      </c>
      <c r="W21" s="41">
        <v>0</v>
      </c>
      <c r="X21" s="40">
        <v>1</v>
      </c>
      <c r="Y21" s="41">
        <v>1</v>
      </c>
      <c r="Z21" s="40">
        <v>1</v>
      </c>
      <c r="AA21" s="41">
        <v>1</v>
      </c>
      <c r="AB21" s="40">
        <v>0</v>
      </c>
      <c r="AC21" s="41">
        <v>1</v>
      </c>
      <c r="AD21" s="40">
        <v>4</v>
      </c>
      <c r="AE21" s="41">
        <v>0</v>
      </c>
      <c r="AF21" s="40">
        <v>3</v>
      </c>
      <c r="AG21" s="41">
        <v>1</v>
      </c>
      <c r="AH21" s="40">
        <v>0</v>
      </c>
      <c r="AI21" s="41">
        <v>0</v>
      </c>
      <c r="AJ21" s="40">
        <v>1</v>
      </c>
      <c r="AK21" s="41">
        <v>0</v>
      </c>
      <c r="AL21" s="40">
        <v>0</v>
      </c>
      <c r="AM21" s="42">
        <v>0</v>
      </c>
      <c r="AN21" s="43">
        <v>0</v>
      </c>
      <c r="AO21" s="44">
        <v>1</v>
      </c>
      <c r="AP21" s="45">
        <v>2</v>
      </c>
      <c r="AQ21" s="41">
        <v>0</v>
      </c>
      <c r="AR21" s="45">
        <v>0</v>
      </c>
      <c r="AS21" s="41">
        <v>0</v>
      </c>
      <c r="AT21" s="46">
        <v>0</v>
      </c>
      <c r="AU21" s="46">
        <v>0</v>
      </c>
      <c r="AV21" s="46">
        <v>0</v>
      </c>
      <c r="AW21" s="46">
        <v>0</v>
      </c>
      <c r="AX21" s="46">
        <v>0</v>
      </c>
      <c r="AY21" t="s">
        <v>156</v>
      </c>
    </row>
    <row r="22" spans="1:51" ht="43.5" x14ac:dyDescent="0.25">
      <c r="A22" s="493"/>
      <c r="B22" s="107" t="s">
        <v>52</v>
      </c>
      <c r="C22" s="329">
        <v>6</v>
      </c>
      <c r="D22" s="108">
        <v>5</v>
      </c>
      <c r="E22" s="90">
        <v>1</v>
      </c>
      <c r="F22" s="81">
        <v>0</v>
      </c>
      <c r="G22" s="82">
        <v>0</v>
      </c>
      <c r="H22" s="81">
        <v>0</v>
      </c>
      <c r="I22" s="82">
        <v>0</v>
      </c>
      <c r="J22" s="81">
        <v>0</v>
      </c>
      <c r="K22" s="82">
        <v>0</v>
      </c>
      <c r="L22" s="81">
        <v>0</v>
      </c>
      <c r="M22" s="82">
        <v>0</v>
      </c>
      <c r="N22" s="81">
        <v>1</v>
      </c>
      <c r="O22" s="82">
        <v>0</v>
      </c>
      <c r="P22" s="81">
        <v>0</v>
      </c>
      <c r="Q22" s="82">
        <v>0</v>
      </c>
      <c r="R22" s="81">
        <v>0</v>
      </c>
      <c r="S22" s="82">
        <v>0</v>
      </c>
      <c r="T22" s="81">
        <v>0</v>
      </c>
      <c r="U22" s="82">
        <v>0</v>
      </c>
      <c r="V22" s="81">
        <v>0</v>
      </c>
      <c r="W22" s="82">
        <v>0</v>
      </c>
      <c r="X22" s="81">
        <v>0</v>
      </c>
      <c r="Y22" s="82">
        <v>1</v>
      </c>
      <c r="Z22" s="81">
        <v>0</v>
      </c>
      <c r="AA22" s="82">
        <v>0</v>
      </c>
      <c r="AB22" s="81">
        <v>1</v>
      </c>
      <c r="AC22" s="82">
        <v>0</v>
      </c>
      <c r="AD22" s="81">
        <v>2</v>
      </c>
      <c r="AE22" s="82">
        <v>0</v>
      </c>
      <c r="AF22" s="81">
        <v>1</v>
      </c>
      <c r="AG22" s="82">
        <v>0</v>
      </c>
      <c r="AH22" s="81">
        <v>0</v>
      </c>
      <c r="AI22" s="82">
        <v>0</v>
      </c>
      <c r="AJ22" s="81">
        <v>0</v>
      </c>
      <c r="AK22" s="82">
        <v>0</v>
      </c>
      <c r="AL22" s="81">
        <v>0</v>
      </c>
      <c r="AM22" s="83">
        <v>0</v>
      </c>
      <c r="AN22" s="84">
        <v>0</v>
      </c>
      <c r="AO22" s="85">
        <v>0</v>
      </c>
      <c r="AP22" s="86">
        <v>1</v>
      </c>
      <c r="AQ22" s="82">
        <v>0</v>
      </c>
      <c r="AR22" s="86">
        <v>0</v>
      </c>
      <c r="AS22" s="82">
        <v>0</v>
      </c>
      <c r="AT22" s="87">
        <v>0</v>
      </c>
      <c r="AU22" s="87">
        <v>0</v>
      </c>
      <c r="AV22" s="87">
        <v>0</v>
      </c>
      <c r="AW22" s="87">
        <v>0</v>
      </c>
      <c r="AX22" s="87">
        <v>0</v>
      </c>
      <c r="AY22" t="s">
        <v>156</v>
      </c>
    </row>
    <row r="23" spans="1:51" ht="43.5" x14ac:dyDescent="0.25">
      <c r="A23" s="494"/>
      <c r="B23" s="109" t="s">
        <v>53</v>
      </c>
      <c r="C23" s="328">
        <v>19</v>
      </c>
      <c r="D23" s="96">
        <v>12</v>
      </c>
      <c r="E23" s="97">
        <v>7</v>
      </c>
      <c r="F23" s="98">
        <v>0</v>
      </c>
      <c r="G23" s="99">
        <v>0</v>
      </c>
      <c r="H23" s="98">
        <v>0</v>
      </c>
      <c r="I23" s="99">
        <v>0</v>
      </c>
      <c r="J23" s="98">
        <v>0</v>
      </c>
      <c r="K23" s="99">
        <v>0</v>
      </c>
      <c r="L23" s="98">
        <v>0</v>
      </c>
      <c r="M23" s="99">
        <v>0</v>
      </c>
      <c r="N23" s="98">
        <v>2</v>
      </c>
      <c r="O23" s="99">
        <v>0</v>
      </c>
      <c r="P23" s="98">
        <v>2</v>
      </c>
      <c r="Q23" s="99">
        <v>2</v>
      </c>
      <c r="R23" s="98">
        <v>2</v>
      </c>
      <c r="S23" s="99">
        <v>0</v>
      </c>
      <c r="T23" s="98">
        <v>1</v>
      </c>
      <c r="U23" s="99">
        <v>1</v>
      </c>
      <c r="V23" s="98">
        <v>0</v>
      </c>
      <c r="W23" s="99">
        <v>1</v>
      </c>
      <c r="X23" s="98">
        <v>1</v>
      </c>
      <c r="Y23" s="99">
        <v>1</v>
      </c>
      <c r="Z23" s="98">
        <v>0</v>
      </c>
      <c r="AA23" s="99">
        <v>0</v>
      </c>
      <c r="AB23" s="98">
        <v>1</v>
      </c>
      <c r="AC23" s="99">
        <v>1</v>
      </c>
      <c r="AD23" s="98">
        <v>3</v>
      </c>
      <c r="AE23" s="99">
        <v>0</v>
      </c>
      <c r="AF23" s="98">
        <v>0</v>
      </c>
      <c r="AG23" s="99">
        <v>0</v>
      </c>
      <c r="AH23" s="98">
        <v>0</v>
      </c>
      <c r="AI23" s="99">
        <v>0</v>
      </c>
      <c r="AJ23" s="98">
        <v>0</v>
      </c>
      <c r="AK23" s="99">
        <v>1</v>
      </c>
      <c r="AL23" s="98">
        <v>0</v>
      </c>
      <c r="AM23" s="100">
        <v>0</v>
      </c>
      <c r="AN23" s="101">
        <v>0</v>
      </c>
      <c r="AO23" s="102">
        <v>1</v>
      </c>
      <c r="AP23" s="103">
        <v>2</v>
      </c>
      <c r="AQ23" s="99">
        <v>0</v>
      </c>
      <c r="AR23" s="103">
        <v>0</v>
      </c>
      <c r="AS23" s="99">
        <v>0</v>
      </c>
      <c r="AT23" s="104">
        <v>0</v>
      </c>
      <c r="AU23" s="104">
        <v>0</v>
      </c>
      <c r="AV23" s="104">
        <v>0</v>
      </c>
      <c r="AW23" s="104">
        <v>0</v>
      </c>
      <c r="AX23" s="104">
        <v>0</v>
      </c>
      <c r="AY23" t="s">
        <v>156</v>
      </c>
    </row>
    <row r="24" spans="1:51" ht="43.5" x14ac:dyDescent="0.25">
      <c r="A24" s="494"/>
      <c r="B24" s="109" t="s">
        <v>54</v>
      </c>
      <c r="C24" s="328">
        <v>21</v>
      </c>
      <c r="D24" s="96">
        <v>10</v>
      </c>
      <c r="E24" s="97">
        <v>11</v>
      </c>
      <c r="F24" s="98">
        <v>0</v>
      </c>
      <c r="G24" s="99">
        <v>0</v>
      </c>
      <c r="H24" s="98">
        <v>0</v>
      </c>
      <c r="I24" s="99">
        <v>0</v>
      </c>
      <c r="J24" s="98">
        <v>0</v>
      </c>
      <c r="K24" s="99">
        <v>0</v>
      </c>
      <c r="L24" s="98">
        <v>0</v>
      </c>
      <c r="M24" s="99">
        <v>0</v>
      </c>
      <c r="N24" s="98">
        <v>1</v>
      </c>
      <c r="O24" s="99">
        <v>0</v>
      </c>
      <c r="P24" s="98">
        <v>4</v>
      </c>
      <c r="Q24" s="99">
        <v>1</v>
      </c>
      <c r="R24" s="98">
        <v>2</v>
      </c>
      <c r="S24" s="99">
        <v>3</v>
      </c>
      <c r="T24" s="98">
        <v>0</v>
      </c>
      <c r="U24" s="99">
        <v>1</v>
      </c>
      <c r="V24" s="98">
        <v>2</v>
      </c>
      <c r="W24" s="99">
        <v>0</v>
      </c>
      <c r="X24" s="98">
        <v>0</v>
      </c>
      <c r="Y24" s="99">
        <v>0</v>
      </c>
      <c r="Z24" s="98">
        <v>0</v>
      </c>
      <c r="AA24" s="99">
        <v>0</v>
      </c>
      <c r="AB24" s="98">
        <v>0</v>
      </c>
      <c r="AC24" s="99">
        <v>2</v>
      </c>
      <c r="AD24" s="98">
        <v>1</v>
      </c>
      <c r="AE24" s="99">
        <v>0</v>
      </c>
      <c r="AF24" s="98">
        <v>0</v>
      </c>
      <c r="AG24" s="99">
        <v>0</v>
      </c>
      <c r="AH24" s="98">
        <v>0</v>
      </c>
      <c r="AI24" s="99">
        <v>2</v>
      </c>
      <c r="AJ24" s="98">
        <v>0</v>
      </c>
      <c r="AK24" s="99">
        <v>1</v>
      </c>
      <c r="AL24" s="98">
        <v>0</v>
      </c>
      <c r="AM24" s="100">
        <v>1</v>
      </c>
      <c r="AN24" s="101">
        <v>0</v>
      </c>
      <c r="AO24" s="102">
        <v>0</v>
      </c>
      <c r="AP24" s="103">
        <v>1</v>
      </c>
      <c r="AQ24" s="99">
        <v>0</v>
      </c>
      <c r="AR24" s="103">
        <v>0</v>
      </c>
      <c r="AS24" s="99">
        <v>0</v>
      </c>
      <c r="AT24" s="104">
        <v>0</v>
      </c>
      <c r="AU24" s="104">
        <v>0</v>
      </c>
      <c r="AV24" s="104">
        <v>0</v>
      </c>
      <c r="AW24" s="104">
        <v>0</v>
      </c>
      <c r="AX24" s="104">
        <v>0</v>
      </c>
      <c r="AY24" t="s">
        <v>156</v>
      </c>
    </row>
    <row r="25" spans="1:51" ht="33" x14ac:dyDescent="0.25">
      <c r="A25" s="492"/>
      <c r="B25" s="110" t="s">
        <v>55</v>
      </c>
      <c r="C25" s="325">
        <v>14</v>
      </c>
      <c r="D25" s="48">
        <v>10</v>
      </c>
      <c r="E25" s="49">
        <v>4</v>
      </c>
      <c r="F25" s="50">
        <v>0</v>
      </c>
      <c r="G25" s="51">
        <v>0</v>
      </c>
      <c r="H25" s="50">
        <v>0</v>
      </c>
      <c r="I25" s="51">
        <v>0</v>
      </c>
      <c r="J25" s="50">
        <v>0</v>
      </c>
      <c r="K25" s="51">
        <v>0</v>
      </c>
      <c r="L25" s="50">
        <v>0</v>
      </c>
      <c r="M25" s="51">
        <v>0</v>
      </c>
      <c r="N25" s="50">
        <v>1</v>
      </c>
      <c r="O25" s="51">
        <v>1</v>
      </c>
      <c r="P25" s="50">
        <v>2</v>
      </c>
      <c r="Q25" s="51">
        <v>0</v>
      </c>
      <c r="R25" s="50">
        <v>3</v>
      </c>
      <c r="S25" s="51">
        <v>0</v>
      </c>
      <c r="T25" s="50">
        <v>0</v>
      </c>
      <c r="U25" s="51">
        <v>2</v>
      </c>
      <c r="V25" s="50">
        <v>0</v>
      </c>
      <c r="W25" s="51">
        <v>0</v>
      </c>
      <c r="X25" s="50">
        <v>1</v>
      </c>
      <c r="Y25" s="51">
        <v>0</v>
      </c>
      <c r="Z25" s="50">
        <v>1</v>
      </c>
      <c r="AA25" s="51">
        <v>1</v>
      </c>
      <c r="AB25" s="50">
        <v>0</v>
      </c>
      <c r="AC25" s="51">
        <v>0</v>
      </c>
      <c r="AD25" s="50">
        <v>2</v>
      </c>
      <c r="AE25" s="51">
        <v>0</v>
      </c>
      <c r="AF25" s="50">
        <v>0</v>
      </c>
      <c r="AG25" s="51">
        <v>0</v>
      </c>
      <c r="AH25" s="50">
        <v>0</v>
      </c>
      <c r="AI25" s="51">
        <v>0</v>
      </c>
      <c r="AJ25" s="50">
        <v>0</v>
      </c>
      <c r="AK25" s="51">
        <v>0</v>
      </c>
      <c r="AL25" s="50">
        <v>0</v>
      </c>
      <c r="AM25" s="52">
        <v>0</v>
      </c>
      <c r="AN25" s="53">
        <v>0</v>
      </c>
      <c r="AO25" s="54">
        <v>0</v>
      </c>
      <c r="AP25" s="55">
        <v>0</v>
      </c>
      <c r="AQ25" s="51">
        <v>0</v>
      </c>
      <c r="AR25" s="55">
        <v>0</v>
      </c>
      <c r="AS25" s="51">
        <v>0</v>
      </c>
      <c r="AT25" s="56">
        <v>0</v>
      </c>
      <c r="AU25" s="56">
        <v>0</v>
      </c>
      <c r="AV25" s="56">
        <v>0</v>
      </c>
      <c r="AW25" s="56">
        <v>0</v>
      </c>
      <c r="AX25" s="56">
        <v>0</v>
      </c>
      <c r="AY25" t="s">
        <v>156</v>
      </c>
    </row>
    <row r="26" spans="1:51" ht="31.5" x14ac:dyDescent="0.25">
      <c r="A26" s="495" t="s">
        <v>56</v>
      </c>
      <c r="B26" s="111" t="s">
        <v>57</v>
      </c>
      <c r="C26" s="327">
        <v>94</v>
      </c>
      <c r="D26" s="106">
        <v>59</v>
      </c>
      <c r="E26" s="67">
        <v>35</v>
      </c>
      <c r="F26" s="40">
        <v>0</v>
      </c>
      <c r="G26" s="41">
        <v>1</v>
      </c>
      <c r="H26" s="40">
        <v>18</v>
      </c>
      <c r="I26" s="41">
        <v>5</v>
      </c>
      <c r="J26" s="40">
        <v>20</v>
      </c>
      <c r="K26" s="41">
        <v>9</v>
      </c>
      <c r="L26" s="40">
        <v>10</v>
      </c>
      <c r="M26" s="41">
        <v>3</v>
      </c>
      <c r="N26" s="40">
        <v>3</v>
      </c>
      <c r="O26" s="41">
        <v>2</v>
      </c>
      <c r="P26" s="40">
        <v>1</v>
      </c>
      <c r="Q26" s="41">
        <v>6</v>
      </c>
      <c r="R26" s="40">
        <v>4</v>
      </c>
      <c r="S26" s="41">
        <v>3</v>
      </c>
      <c r="T26" s="40">
        <v>3</v>
      </c>
      <c r="U26" s="41">
        <v>3</v>
      </c>
      <c r="V26" s="40">
        <v>0</v>
      </c>
      <c r="W26" s="41">
        <v>0</v>
      </c>
      <c r="X26" s="40">
        <v>0</v>
      </c>
      <c r="Y26" s="41">
        <v>1</v>
      </c>
      <c r="Z26" s="40">
        <v>0</v>
      </c>
      <c r="AA26" s="41">
        <v>0</v>
      </c>
      <c r="AB26" s="40">
        <v>0</v>
      </c>
      <c r="AC26" s="41">
        <v>1</v>
      </c>
      <c r="AD26" s="40">
        <v>0</v>
      </c>
      <c r="AE26" s="41">
        <v>1</v>
      </c>
      <c r="AF26" s="40">
        <v>0</v>
      </c>
      <c r="AG26" s="41">
        <v>0</v>
      </c>
      <c r="AH26" s="40">
        <v>0</v>
      </c>
      <c r="AI26" s="41">
        <v>0</v>
      </c>
      <c r="AJ26" s="40">
        <v>0</v>
      </c>
      <c r="AK26" s="41">
        <v>0</v>
      </c>
      <c r="AL26" s="40">
        <v>0</v>
      </c>
      <c r="AM26" s="42">
        <v>0</v>
      </c>
      <c r="AN26" s="43">
        <v>0</v>
      </c>
      <c r="AO26" s="112"/>
      <c r="AP26" s="45">
        <v>1</v>
      </c>
      <c r="AQ26" s="41">
        <v>0</v>
      </c>
      <c r="AR26" s="45">
        <v>6</v>
      </c>
      <c r="AS26" s="41">
        <v>1</v>
      </c>
      <c r="AT26" s="46">
        <v>0</v>
      </c>
      <c r="AU26" s="46">
        <v>4</v>
      </c>
      <c r="AV26" s="46">
        <v>0</v>
      </c>
      <c r="AW26" s="46">
        <v>1</v>
      </c>
      <c r="AX26" s="46">
        <v>0</v>
      </c>
      <c r="AY26" t="s">
        <v>156</v>
      </c>
    </row>
    <row r="27" spans="1:51" ht="63" x14ac:dyDescent="0.25">
      <c r="A27" s="496"/>
      <c r="B27" s="113" t="s">
        <v>58</v>
      </c>
      <c r="C27" s="329">
        <v>2</v>
      </c>
      <c r="D27" s="108">
        <v>1</v>
      </c>
      <c r="E27" s="90">
        <v>1</v>
      </c>
      <c r="F27" s="81">
        <v>0</v>
      </c>
      <c r="G27" s="82">
        <v>0</v>
      </c>
      <c r="H27" s="81">
        <v>0</v>
      </c>
      <c r="I27" s="82">
        <v>0</v>
      </c>
      <c r="J27" s="81">
        <v>1</v>
      </c>
      <c r="K27" s="82">
        <v>1</v>
      </c>
      <c r="L27" s="81">
        <v>0</v>
      </c>
      <c r="M27" s="82">
        <v>0</v>
      </c>
      <c r="N27" s="81">
        <v>0</v>
      </c>
      <c r="O27" s="86">
        <v>0</v>
      </c>
      <c r="P27" s="81">
        <v>0</v>
      </c>
      <c r="Q27" s="82">
        <v>0</v>
      </c>
      <c r="R27" s="81">
        <v>0</v>
      </c>
      <c r="S27" s="82">
        <v>0</v>
      </c>
      <c r="T27" s="81">
        <v>0</v>
      </c>
      <c r="U27" s="82">
        <v>0</v>
      </c>
      <c r="V27" s="81">
        <v>0</v>
      </c>
      <c r="W27" s="82">
        <v>0</v>
      </c>
      <c r="X27" s="81">
        <v>0</v>
      </c>
      <c r="Y27" s="82">
        <v>0</v>
      </c>
      <c r="Z27" s="81">
        <v>0</v>
      </c>
      <c r="AA27" s="82">
        <v>0</v>
      </c>
      <c r="AB27" s="81">
        <v>0</v>
      </c>
      <c r="AC27" s="82">
        <v>0</v>
      </c>
      <c r="AD27" s="81">
        <v>0</v>
      </c>
      <c r="AE27" s="82">
        <v>0</v>
      </c>
      <c r="AF27" s="81">
        <v>0</v>
      </c>
      <c r="AG27" s="82">
        <v>0</v>
      </c>
      <c r="AH27" s="81">
        <v>0</v>
      </c>
      <c r="AI27" s="82">
        <v>0</v>
      </c>
      <c r="AJ27" s="81">
        <v>0</v>
      </c>
      <c r="AK27" s="82">
        <v>0</v>
      </c>
      <c r="AL27" s="81">
        <v>0</v>
      </c>
      <c r="AM27" s="83">
        <v>0</v>
      </c>
      <c r="AN27" s="84">
        <v>0</v>
      </c>
      <c r="AO27" s="114"/>
      <c r="AP27" s="86">
        <v>0</v>
      </c>
      <c r="AQ27" s="82">
        <v>0</v>
      </c>
      <c r="AR27" s="86">
        <v>0</v>
      </c>
      <c r="AS27" s="82">
        <v>0</v>
      </c>
      <c r="AT27" s="87">
        <v>0</v>
      </c>
      <c r="AU27" s="87">
        <v>0</v>
      </c>
      <c r="AV27" s="87">
        <v>0</v>
      </c>
      <c r="AW27" s="87">
        <v>0</v>
      </c>
      <c r="AX27" s="87">
        <v>0</v>
      </c>
      <c r="AY27" t="s">
        <v>156</v>
      </c>
    </row>
    <row r="28" spans="1:51" ht="73.5" x14ac:dyDescent="0.25">
      <c r="A28" s="496"/>
      <c r="B28" s="113" t="s">
        <v>59</v>
      </c>
      <c r="C28" s="324">
        <v>0</v>
      </c>
      <c r="D28" s="38">
        <v>0</v>
      </c>
      <c r="E28" s="39">
        <v>0</v>
      </c>
      <c r="F28" s="81">
        <v>0</v>
      </c>
      <c r="G28" s="82">
        <v>0</v>
      </c>
      <c r="H28" s="81"/>
      <c r="I28" s="82"/>
      <c r="J28" s="81"/>
      <c r="K28" s="82"/>
      <c r="L28" s="91"/>
      <c r="M28" s="92"/>
      <c r="N28" s="91"/>
      <c r="O28" s="92"/>
      <c r="P28" s="91"/>
      <c r="Q28" s="92"/>
      <c r="R28" s="91"/>
      <c r="S28" s="92"/>
      <c r="T28" s="91"/>
      <c r="U28" s="92"/>
      <c r="V28" s="91"/>
      <c r="W28" s="92"/>
      <c r="X28" s="91"/>
      <c r="Y28" s="92"/>
      <c r="Z28" s="91"/>
      <c r="AA28" s="92"/>
      <c r="AB28" s="91"/>
      <c r="AC28" s="92"/>
      <c r="AD28" s="91"/>
      <c r="AE28" s="92"/>
      <c r="AF28" s="91"/>
      <c r="AG28" s="92"/>
      <c r="AH28" s="91"/>
      <c r="AI28" s="92"/>
      <c r="AJ28" s="91"/>
      <c r="AK28" s="92"/>
      <c r="AL28" s="91"/>
      <c r="AM28" s="93"/>
      <c r="AN28" s="84"/>
      <c r="AO28" s="114"/>
      <c r="AP28" s="86"/>
      <c r="AQ28" s="82"/>
      <c r="AR28" s="86"/>
      <c r="AS28" s="82"/>
      <c r="AT28" s="87"/>
      <c r="AU28" s="87"/>
      <c r="AV28" s="87"/>
      <c r="AW28" s="87"/>
      <c r="AX28" s="87"/>
      <c r="AY28" t="s">
        <v>156</v>
      </c>
    </row>
    <row r="29" spans="1:51" ht="147" x14ac:dyDescent="0.25">
      <c r="A29" s="497"/>
      <c r="B29" s="115" t="s">
        <v>60</v>
      </c>
      <c r="C29" s="325">
        <v>29</v>
      </c>
      <c r="D29" s="48">
        <v>7</v>
      </c>
      <c r="E29" s="49">
        <v>22</v>
      </c>
      <c r="F29" s="50">
        <v>0</v>
      </c>
      <c r="G29" s="51">
        <v>0</v>
      </c>
      <c r="H29" s="50">
        <v>2</v>
      </c>
      <c r="I29" s="51">
        <v>0</v>
      </c>
      <c r="J29" s="50">
        <v>3</v>
      </c>
      <c r="K29" s="51">
        <v>7</v>
      </c>
      <c r="L29" s="50">
        <v>2</v>
      </c>
      <c r="M29" s="51">
        <v>15</v>
      </c>
      <c r="N29" s="50">
        <v>0</v>
      </c>
      <c r="O29" s="51">
        <v>0</v>
      </c>
      <c r="P29" s="116"/>
      <c r="Q29" s="117"/>
      <c r="R29" s="116"/>
      <c r="S29" s="117"/>
      <c r="T29" s="116"/>
      <c r="U29" s="117"/>
      <c r="V29" s="116"/>
      <c r="W29" s="117"/>
      <c r="X29" s="116"/>
      <c r="Y29" s="117"/>
      <c r="Z29" s="116"/>
      <c r="AA29" s="117"/>
      <c r="AB29" s="116"/>
      <c r="AC29" s="117"/>
      <c r="AD29" s="116"/>
      <c r="AE29" s="117"/>
      <c r="AF29" s="116"/>
      <c r="AG29" s="117"/>
      <c r="AH29" s="116"/>
      <c r="AI29" s="117"/>
      <c r="AJ29" s="116"/>
      <c r="AK29" s="117"/>
      <c r="AL29" s="116"/>
      <c r="AM29" s="118"/>
      <c r="AN29" s="53">
        <v>0</v>
      </c>
      <c r="AO29" s="119"/>
      <c r="AP29" s="55">
        <v>0</v>
      </c>
      <c r="AQ29" s="51">
        <v>0</v>
      </c>
      <c r="AR29" s="55">
        <v>0</v>
      </c>
      <c r="AS29" s="51">
        <v>1</v>
      </c>
      <c r="AT29" s="56">
        <v>0</v>
      </c>
      <c r="AU29" s="56">
        <v>5</v>
      </c>
      <c r="AV29" s="56">
        <v>0</v>
      </c>
      <c r="AW29" s="56">
        <v>0</v>
      </c>
      <c r="AX29" s="56">
        <v>1</v>
      </c>
      <c r="AY29" t="s">
        <v>156</v>
      </c>
    </row>
    <row r="30" spans="1:51" ht="52.5" x14ac:dyDescent="0.25">
      <c r="A30" s="474" t="s">
        <v>61</v>
      </c>
      <c r="B30" s="111" t="s">
        <v>62</v>
      </c>
      <c r="C30" s="133">
        <v>13</v>
      </c>
      <c r="D30" s="330">
        <v>1</v>
      </c>
      <c r="E30" s="120">
        <v>12</v>
      </c>
      <c r="F30" s="73">
        <v>0</v>
      </c>
      <c r="G30" s="74">
        <v>0</v>
      </c>
      <c r="H30" s="73">
        <v>0</v>
      </c>
      <c r="I30" s="74">
        <v>0</v>
      </c>
      <c r="J30" s="73">
        <v>1</v>
      </c>
      <c r="K30" s="74">
        <v>0</v>
      </c>
      <c r="L30" s="81">
        <v>0</v>
      </c>
      <c r="M30" s="82">
        <v>1</v>
      </c>
      <c r="N30" s="40">
        <v>0</v>
      </c>
      <c r="O30" s="86">
        <v>1</v>
      </c>
      <c r="P30" s="81">
        <v>0</v>
      </c>
      <c r="Q30" s="86">
        <v>1</v>
      </c>
      <c r="R30" s="81">
        <v>0</v>
      </c>
      <c r="S30" s="86">
        <v>1</v>
      </c>
      <c r="T30" s="81">
        <v>0</v>
      </c>
      <c r="U30" s="86">
        <v>0</v>
      </c>
      <c r="V30" s="81">
        <v>0</v>
      </c>
      <c r="W30" s="86">
        <v>1</v>
      </c>
      <c r="X30" s="81">
        <v>0</v>
      </c>
      <c r="Y30" s="86">
        <v>0</v>
      </c>
      <c r="Z30" s="81">
        <v>0</v>
      </c>
      <c r="AA30" s="86">
        <v>3</v>
      </c>
      <c r="AB30" s="81">
        <v>0</v>
      </c>
      <c r="AC30" s="86">
        <v>2</v>
      </c>
      <c r="AD30" s="81">
        <v>0</v>
      </c>
      <c r="AE30" s="86">
        <v>2</v>
      </c>
      <c r="AF30" s="81">
        <v>0</v>
      </c>
      <c r="AG30" s="86">
        <v>0</v>
      </c>
      <c r="AH30" s="81">
        <v>0</v>
      </c>
      <c r="AI30" s="86">
        <v>0</v>
      </c>
      <c r="AJ30" s="81">
        <v>0</v>
      </c>
      <c r="AK30" s="86">
        <v>0</v>
      </c>
      <c r="AL30" s="81">
        <v>0</v>
      </c>
      <c r="AM30" s="42">
        <v>0</v>
      </c>
      <c r="AN30" s="43">
        <v>1</v>
      </c>
      <c r="AO30" s="44">
        <v>1</v>
      </c>
      <c r="AP30" s="86">
        <v>0</v>
      </c>
      <c r="AQ30" s="87">
        <v>1</v>
      </c>
      <c r="AR30" s="86">
        <v>1</v>
      </c>
      <c r="AS30" s="82">
        <v>0</v>
      </c>
      <c r="AT30" s="46">
        <v>0</v>
      </c>
      <c r="AU30" s="46">
        <v>0</v>
      </c>
      <c r="AV30" s="41">
        <v>0</v>
      </c>
      <c r="AW30" s="41">
        <v>0</v>
      </c>
      <c r="AX30" s="41">
        <v>0</v>
      </c>
      <c r="AY30" t="s">
        <v>156</v>
      </c>
    </row>
    <row r="31" spans="1:51" ht="22.5" x14ac:dyDescent="0.25">
      <c r="A31" s="475"/>
      <c r="B31" s="121" t="s">
        <v>63</v>
      </c>
      <c r="C31" s="133">
        <v>27</v>
      </c>
      <c r="D31" s="330">
        <v>3</v>
      </c>
      <c r="E31" s="120">
        <v>24</v>
      </c>
      <c r="F31" s="81">
        <v>0</v>
      </c>
      <c r="G31" s="82">
        <v>0</v>
      </c>
      <c r="H31" s="81">
        <v>0</v>
      </c>
      <c r="I31" s="82">
        <v>0</v>
      </c>
      <c r="J31" s="81">
        <v>1</v>
      </c>
      <c r="K31" s="82">
        <v>0</v>
      </c>
      <c r="L31" s="81">
        <v>0</v>
      </c>
      <c r="M31" s="82">
        <v>2</v>
      </c>
      <c r="N31" s="81">
        <v>0</v>
      </c>
      <c r="O31" s="86">
        <v>2</v>
      </c>
      <c r="P31" s="81">
        <v>1</v>
      </c>
      <c r="Q31" s="86">
        <v>2</v>
      </c>
      <c r="R31" s="81">
        <v>0</v>
      </c>
      <c r="S31" s="86">
        <v>6</v>
      </c>
      <c r="T31" s="81">
        <v>0</v>
      </c>
      <c r="U31" s="86">
        <v>1</v>
      </c>
      <c r="V31" s="81">
        <v>0</v>
      </c>
      <c r="W31" s="86">
        <v>1</v>
      </c>
      <c r="X31" s="81">
        <v>0</v>
      </c>
      <c r="Y31" s="86">
        <v>1</v>
      </c>
      <c r="Z31" s="81">
        <v>1</v>
      </c>
      <c r="AA31" s="86">
        <v>0</v>
      </c>
      <c r="AB31" s="81">
        <v>0</v>
      </c>
      <c r="AC31" s="86">
        <v>4</v>
      </c>
      <c r="AD31" s="81">
        <v>0</v>
      </c>
      <c r="AE31" s="86">
        <v>3</v>
      </c>
      <c r="AF31" s="81">
        <v>0</v>
      </c>
      <c r="AG31" s="86">
        <v>2</v>
      </c>
      <c r="AH31" s="81">
        <v>0</v>
      </c>
      <c r="AI31" s="86">
        <v>0</v>
      </c>
      <c r="AJ31" s="81">
        <v>0</v>
      </c>
      <c r="AK31" s="86">
        <v>0</v>
      </c>
      <c r="AL31" s="81">
        <v>0</v>
      </c>
      <c r="AM31" s="83">
        <v>0</v>
      </c>
      <c r="AN31" s="84">
        <v>1</v>
      </c>
      <c r="AO31" s="85">
        <v>3</v>
      </c>
      <c r="AP31" s="86">
        <v>0</v>
      </c>
      <c r="AQ31" s="87">
        <v>1</v>
      </c>
      <c r="AR31" s="86">
        <v>0</v>
      </c>
      <c r="AS31" s="82">
        <v>1</v>
      </c>
      <c r="AT31" s="87">
        <v>0</v>
      </c>
      <c r="AU31" s="87">
        <v>0</v>
      </c>
      <c r="AV31" s="82">
        <v>0</v>
      </c>
      <c r="AW31" s="82">
        <v>0</v>
      </c>
      <c r="AX31" s="82">
        <v>0</v>
      </c>
      <c r="AY31" t="s">
        <v>156</v>
      </c>
    </row>
    <row r="32" spans="1:51" ht="21" x14ac:dyDescent="0.25">
      <c r="A32" s="475"/>
      <c r="B32" s="122" t="s">
        <v>64</v>
      </c>
      <c r="C32" s="141">
        <v>5</v>
      </c>
      <c r="D32" s="331">
        <v>3</v>
      </c>
      <c r="E32" s="107">
        <v>2</v>
      </c>
      <c r="F32" s="81">
        <v>0</v>
      </c>
      <c r="G32" s="82">
        <v>0</v>
      </c>
      <c r="H32" s="81">
        <v>0</v>
      </c>
      <c r="I32" s="82">
        <v>0</v>
      </c>
      <c r="J32" s="81">
        <v>0</v>
      </c>
      <c r="K32" s="82">
        <v>0</v>
      </c>
      <c r="L32" s="81">
        <v>2</v>
      </c>
      <c r="M32" s="82">
        <v>0</v>
      </c>
      <c r="N32" s="81">
        <v>0</v>
      </c>
      <c r="O32" s="86">
        <v>2</v>
      </c>
      <c r="P32" s="81">
        <v>1</v>
      </c>
      <c r="Q32" s="86">
        <v>0</v>
      </c>
      <c r="R32" s="81">
        <v>0</v>
      </c>
      <c r="S32" s="86">
        <v>0</v>
      </c>
      <c r="T32" s="81">
        <v>0</v>
      </c>
      <c r="U32" s="86">
        <v>0</v>
      </c>
      <c r="V32" s="81">
        <v>0</v>
      </c>
      <c r="W32" s="86">
        <v>0</v>
      </c>
      <c r="X32" s="81">
        <v>0</v>
      </c>
      <c r="Y32" s="86">
        <v>0</v>
      </c>
      <c r="Z32" s="81">
        <v>0</v>
      </c>
      <c r="AA32" s="86">
        <v>0</v>
      </c>
      <c r="AB32" s="81">
        <v>0</v>
      </c>
      <c r="AC32" s="86">
        <v>0</v>
      </c>
      <c r="AD32" s="81">
        <v>0</v>
      </c>
      <c r="AE32" s="86">
        <v>0</v>
      </c>
      <c r="AF32" s="81">
        <v>0</v>
      </c>
      <c r="AG32" s="86">
        <v>0</v>
      </c>
      <c r="AH32" s="81">
        <v>0</v>
      </c>
      <c r="AI32" s="86">
        <v>0</v>
      </c>
      <c r="AJ32" s="81">
        <v>0</v>
      </c>
      <c r="AK32" s="86">
        <v>0</v>
      </c>
      <c r="AL32" s="81">
        <v>0</v>
      </c>
      <c r="AM32" s="83">
        <v>0</v>
      </c>
      <c r="AN32" s="84">
        <v>1</v>
      </c>
      <c r="AO32" s="85">
        <v>1</v>
      </c>
      <c r="AP32" s="86">
        <v>1</v>
      </c>
      <c r="AQ32" s="87">
        <v>1</v>
      </c>
      <c r="AR32" s="86">
        <v>1</v>
      </c>
      <c r="AS32" s="82">
        <v>1</v>
      </c>
      <c r="AT32" s="87">
        <v>1</v>
      </c>
      <c r="AU32" s="87">
        <v>1</v>
      </c>
      <c r="AV32" s="82">
        <v>1</v>
      </c>
      <c r="AW32" s="82">
        <v>1</v>
      </c>
      <c r="AX32" s="82">
        <v>1</v>
      </c>
      <c r="AY32" t="s">
        <v>156</v>
      </c>
    </row>
    <row r="33" spans="1:51" ht="52.5" x14ac:dyDescent="0.25">
      <c r="A33" s="475"/>
      <c r="B33" s="122" t="s">
        <v>65</v>
      </c>
      <c r="C33" s="133">
        <v>52</v>
      </c>
      <c r="D33" s="330">
        <v>13</v>
      </c>
      <c r="E33" s="120">
        <v>39</v>
      </c>
      <c r="F33" s="81">
        <v>0</v>
      </c>
      <c r="G33" s="82">
        <v>0</v>
      </c>
      <c r="H33" s="81">
        <v>0</v>
      </c>
      <c r="I33" s="82">
        <v>0</v>
      </c>
      <c r="J33" s="81">
        <v>0</v>
      </c>
      <c r="K33" s="82">
        <v>1</v>
      </c>
      <c r="L33" s="81">
        <v>1</v>
      </c>
      <c r="M33" s="82">
        <v>0</v>
      </c>
      <c r="N33" s="81">
        <v>0</v>
      </c>
      <c r="O33" s="86">
        <v>3</v>
      </c>
      <c r="P33" s="81">
        <v>2</v>
      </c>
      <c r="Q33" s="86">
        <v>6</v>
      </c>
      <c r="R33" s="81">
        <v>2</v>
      </c>
      <c r="S33" s="86">
        <v>2</v>
      </c>
      <c r="T33" s="81">
        <v>1</v>
      </c>
      <c r="U33" s="86">
        <v>5</v>
      </c>
      <c r="V33" s="81">
        <v>0</v>
      </c>
      <c r="W33" s="86">
        <v>4</v>
      </c>
      <c r="X33" s="81">
        <v>1</v>
      </c>
      <c r="Y33" s="86">
        <v>2</v>
      </c>
      <c r="Z33" s="81">
        <v>1</v>
      </c>
      <c r="AA33" s="86">
        <v>1</v>
      </c>
      <c r="AB33" s="81">
        <v>1</v>
      </c>
      <c r="AC33" s="86">
        <v>3</v>
      </c>
      <c r="AD33" s="81">
        <v>2</v>
      </c>
      <c r="AE33" s="86">
        <v>6</v>
      </c>
      <c r="AF33" s="81">
        <v>2</v>
      </c>
      <c r="AG33" s="86">
        <v>3</v>
      </c>
      <c r="AH33" s="81">
        <v>0</v>
      </c>
      <c r="AI33" s="86">
        <v>3</v>
      </c>
      <c r="AJ33" s="81">
        <v>0</v>
      </c>
      <c r="AK33" s="86">
        <v>0</v>
      </c>
      <c r="AL33" s="81">
        <v>0</v>
      </c>
      <c r="AM33" s="83">
        <v>0</v>
      </c>
      <c r="AN33" s="84">
        <v>0</v>
      </c>
      <c r="AO33" s="85">
        <v>2</v>
      </c>
      <c r="AP33" s="86">
        <v>0</v>
      </c>
      <c r="AQ33" s="87">
        <v>1</v>
      </c>
      <c r="AR33" s="86">
        <v>1</v>
      </c>
      <c r="AS33" s="82">
        <v>0</v>
      </c>
      <c r="AT33" s="87">
        <v>0</v>
      </c>
      <c r="AU33" s="87">
        <v>0</v>
      </c>
      <c r="AV33" s="82">
        <v>0</v>
      </c>
      <c r="AW33" s="82">
        <v>2</v>
      </c>
      <c r="AX33" s="82">
        <v>0</v>
      </c>
      <c r="AY33" t="s">
        <v>156</v>
      </c>
    </row>
    <row r="34" spans="1:51" ht="42" x14ac:dyDescent="0.25">
      <c r="A34" s="445"/>
      <c r="B34" s="115" t="s">
        <v>66</v>
      </c>
      <c r="C34" s="332">
        <v>414</v>
      </c>
      <c r="D34" s="333">
        <v>84</v>
      </c>
      <c r="E34" s="123">
        <v>330</v>
      </c>
      <c r="F34" s="81">
        <v>0</v>
      </c>
      <c r="G34" s="82">
        <v>0</v>
      </c>
      <c r="H34" s="81">
        <v>0</v>
      </c>
      <c r="I34" s="82">
        <v>0</v>
      </c>
      <c r="J34" s="81">
        <v>2</v>
      </c>
      <c r="K34" s="82">
        <v>5</v>
      </c>
      <c r="L34" s="81">
        <v>8</v>
      </c>
      <c r="M34" s="82">
        <v>23</v>
      </c>
      <c r="N34" s="50">
        <v>4</v>
      </c>
      <c r="O34" s="86">
        <v>15</v>
      </c>
      <c r="P34" s="81">
        <v>15</v>
      </c>
      <c r="Q34" s="86">
        <v>29</v>
      </c>
      <c r="R34" s="81">
        <v>5</v>
      </c>
      <c r="S34" s="86">
        <v>23</v>
      </c>
      <c r="T34" s="81">
        <v>6</v>
      </c>
      <c r="U34" s="86">
        <v>30</v>
      </c>
      <c r="V34" s="81">
        <v>5</v>
      </c>
      <c r="W34" s="86">
        <v>11</v>
      </c>
      <c r="X34" s="81">
        <v>3</v>
      </c>
      <c r="Y34" s="86">
        <v>16</v>
      </c>
      <c r="Z34" s="81">
        <v>3</v>
      </c>
      <c r="AA34" s="86">
        <v>17</v>
      </c>
      <c r="AB34" s="81">
        <v>7</v>
      </c>
      <c r="AC34" s="86">
        <v>34</v>
      </c>
      <c r="AD34" s="81">
        <v>3</v>
      </c>
      <c r="AE34" s="86">
        <v>48</v>
      </c>
      <c r="AF34" s="81">
        <v>10</v>
      </c>
      <c r="AG34" s="86">
        <v>37</v>
      </c>
      <c r="AH34" s="81">
        <v>7</v>
      </c>
      <c r="AI34" s="86">
        <v>18</v>
      </c>
      <c r="AJ34" s="81">
        <v>4</v>
      </c>
      <c r="AK34" s="86">
        <v>16</v>
      </c>
      <c r="AL34" s="81">
        <v>2</v>
      </c>
      <c r="AM34" s="52">
        <v>8</v>
      </c>
      <c r="AN34" s="53">
        <v>4</v>
      </c>
      <c r="AO34" s="54">
        <v>31</v>
      </c>
      <c r="AP34" s="55">
        <v>3</v>
      </c>
      <c r="AQ34" s="51">
        <v>14</v>
      </c>
      <c r="AR34" s="55">
        <v>6</v>
      </c>
      <c r="AS34" s="51">
        <v>8</v>
      </c>
      <c r="AT34" s="56">
        <v>0</v>
      </c>
      <c r="AU34" s="56">
        <v>1</v>
      </c>
      <c r="AV34" s="51">
        <v>0</v>
      </c>
      <c r="AW34" s="51">
        <v>4</v>
      </c>
      <c r="AX34" s="51">
        <v>2</v>
      </c>
      <c r="AY34" t="s">
        <v>156</v>
      </c>
    </row>
    <row r="35" spans="1:51" x14ac:dyDescent="0.25">
      <c r="A35" s="474" t="s">
        <v>67</v>
      </c>
      <c r="B35" s="124" t="s">
        <v>68</v>
      </c>
      <c r="C35" s="327">
        <v>21</v>
      </c>
      <c r="D35" s="106">
        <v>6</v>
      </c>
      <c r="E35" s="67">
        <v>15</v>
      </c>
      <c r="F35" s="307"/>
      <c r="G35" s="308"/>
      <c r="H35" s="307"/>
      <c r="I35" s="308"/>
      <c r="J35" s="307"/>
      <c r="K35" s="308"/>
      <c r="L35" s="307"/>
      <c r="M35" s="308"/>
      <c r="N35" s="307"/>
      <c r="O35" s="308"/>
      <c r="P35" s="307"/>
      <c r="Q35" s="308"/>
      <c r="R35" s="40">
        <v>0</v>
      </c>
      <c r="S35" s="41">
        <v>0</v>
      </c>
      <c r="T35" s="40">
        <v>0</v>
      </c>
      <c r="U35" s="41">
        <v>0</v>
      </c>
      <c r="V35" s="40">
        <v>0</v>
      </c>
      <c r="W35" s="41">
        <v>0</v>
      </c>
      <c r="X35" s="40">
        <v>0</v>
      </c>
      <c r="Y35" s="41">
        <v>0</v>
      </c>
      <c r="Z35" s="40">
        <v>0</v>
      </c>
      <c r="AA35" s="41">
        <v>0</v>
      </c>
      <c r="AB35" s="40">
        <v>0</v>
      </c>
      <c r="AC35" s="41">
        <v>0</v>
      </c>
      <c r="AD35" s="40">
        <v>1</v>
      </c>
      <c r="AE35" s="41">
        <v>0</v>
      </c>
      <c r="AF35" s="40">
        <v>1</v>
      </c>
      <c r="AG35" s="41">
        <v>3</v>
      </c>
      <c r="AH35" s="40">
        <v>1</v>
      </c>
      <c r="AI35" s="41">
        <v>5</v>
      </c>
      <c r="AJ35" s="40">
        <v>2</v>
      </c>
      <c r="AK35" s="41">
        <v>2</v>
      </c>
      <c r="AL35" s="40">
        <v>1</v>
      </c>
      <c r="AM35" s="42">
        <v>5</v>
      </c>
      <c r="AN35" s="125"/>
      <c r="AO35" s="126"/>
      <c r="AP35" s="40">
        <v>0</v>
      </c>
      <c r="AQ35" s="46">
        <v>1</v>
      </c>
      <c r="AR35" s="45">
        <v>0</v>
      </c>
      <c r="AS35" s="41">
        <v>0</v>
      </c>
      <c r="AT35" s="309"/>
      <c r="AU35" s="309"/>
      <c r="AV35" s="41">
        <v>21</v>
      </c>
      <c r="AW35" s="41">
        <v>1</v>
      </c>
      <c r="AX35" s="41">
        <v>0</v>
      </c>
      <c r="AY35" t="s">
        <v>156</v>
      </c>
    </row>
    <row r="36" spans="1:51" x14ac:dyDescent="0.25">
      <c r="A36" s="475"/>
      <c r="B36" s="127" t="s">
        <v>69</v>
      </c>
      <c r="C36" s="324">
        <v>35</v>
      </c>
      <c r="D36" s="38">
        <v>12</v>
      </c>
      <c r="E36" s="39">
        <v>23</v>
      </c>
      <c r="F36" s="310"/>
      <c r="G36" s="311"/>
      <c r="H36" s="310"/>
      <c r="I36" s="311"/>
      <c r="J36" s="310"/>
      <c r="K36" s="311"/>
      <c r="L36" s="310"/>
      <c r="M36" s="311"/>
      <c r="N36" s="310"/>
      <c r="O36" s="311"/>
      <c r="P36" s="310"/>
      <c r="Q36" s="311"/>
      <c r="R36" s="73">
        <v>0</v>
      </c>
      <c r="S36" s="74">
        <v>0</v>
      </c>
      <c r="T36" s="73">
        <v>0</v>
      </c>
      <c r="U36" s="74">
        <v>0</v>
      </c>
      <c r="V36" s="73">
        <v>0</v>
      </c>
      <c r="W36" s="74">
        <v>0</v>
      </c>
      <c r="X36" s="73">
        <v>1</v>
      </c>
      <c r="Y36" s="74">
        <v>0</v>
      </c>
      <c r="Z36" s="73">
        <v>0</v>
      </c>
      <c r="AA36" s="74">
        <v>0</v>
      </c>
      <c r="AB36" s="73">
        <v>0</v>
      </c>
      <c r="AC36" s="74">
        <v>0</v>
      </c>
      <c r="AD36" s="73">
        <v>0</v>
      </c>
      <c r="AE36" s="74">
        <v>0</v>
      </c>
      <c r="AF36" s="73">
        <v>2</v>
      </c>
      <c r="AG36" s="74">
        <v>0</v>
      </c>
      <c r="AH36" s="73">
        <v>0</v>
      </c>
      <c r="AI36" s="74">
        <v>0</v>
      </c>
      <c r="AJ36" s="73">
        <v>3</v>
      </c>
      <c r="AK36" s="74">
        <v>2</v>
      </c>
      <c r="AL36" s="73">
        <v>6</v>
      </c>
      <c r="AM36" s="75">
        <v>21</v>
      </c>
      <c r="AN36" s="128"/>
      <c r="AO36" s="129"/>
      <c r="AP36" s="81">
        <v>0</v>
      </c>
      <c r="AQ36" s="87">
        <v>0</v>
      </c>
      <c r="AR36" s="312">
        <v>0</v>
      </c>
      <c r="AS36" s="82">
        <v>0</v>
      </c>
      <c r="AT36" s="313"/>
      <c r="AU36" s="313"/>
      <c r="AV36" s="73">
        <v>35</v>
      </c>
      <c r="AW36" s="73">
        <v>0</v>
      </c>
      <c r="AX36" s="77">
        <v>0</v>
      </c>
      <c r="AY36" t="s">
        <v>156</v>
      </c>
    </row>
    <row r="37" spans="1:51" x14ac:dyDescent="0.25">
      <c r="A37" s="445"/>
      <c r="B37" s="130" t="s">
        <v>70</v>
      </c>
      <c r="C37" s="326">
        <v>16</v>
      </c>
      <c r="D37" s="57">
        <v>7</v>
      </c>
      <c r="E37" s="58">
        <v>9</v>
      </c>
      <c r="F37" s="314"/>
      <c r="G37" s="315"/>
      <c r="H37" s="314"/>
      <c r="I37" s="315"/>
      <c r="J37" s="314"/>
      <c r="K37" s="315"/>
      <c r="L37" s="314"/>
      <c r="M37" s="315"/>
      <c r="N37" s="314"/>
      <c r="O37" s="315"/>
      <c r="P37" s="314"/>
      <c r="Q37" s="315"/>
      <c r="R37" s="59">
        <v>0</v>
      </c>
      <c r="S37" s="60">
        <v>0</v>
      </c>
      <c r="T37" s="59">
        <v>0</v>
      </c>
      <c r="U37" s="60">
        <v>0</v>
      </c>
      <c r="V37" s="59">
        <v>0</v>
      </c>
      <c r="W37" s="60">
        <v>0</v>
      </c>
      <c r="X37" s="59">
        <v>0</v>
      </c>
      <c r="Y37" s="60">
        <v>0</v>
      </c>
      <c r="Z37" s="59">
        <v>0</v>
      </c>
      <c r="AA37" s="60">
        <v>0</v>
      </c>
      <c r="AB37" s="59">
        <v>0</v>
      </c>
      <c r="AC37" s="60">
        <v>0</v>
      </c>
      <c r="AD37" s="59">
        <v>2</v>
      </c>
      <c r="AE37" s="60">
        <v>0</v>
      </c>
      <c r="AF37" s="59">
        <v>0</v>
      </c>
      <c r="AG37" s="60">
        <v>0</v>
      </c>
      <c r="AH37" s="59">
        <v>0</v>
      </c>
      <c r="AI37" s="60">
        <v>0</v>
      </c>
      <c r="AJ37" s="59">
        <v>1</v>
      </c>
      <c r="AK37" s="60">
        <v>3</v>
      </c>
      <c r="AL37" s="59">
        <v>4</v>
      </c>
      <c r="AM37" s="61">
        <v>6</v>
      </c>
      <c r="AN37" s="131"/>
      <c r="AO37" s="132"/>
      <c r="AP37" s="50">
        <v>0</v>
      </c>
      <c r="AQ37" s="56">
        <v>0</v>
      </c>
      <c r="AR37" s="316">
        <v>0</v>
      </c>
      <c r="AS37" s="51">
        <v>0</v>
      </c>
      <c r="AT37" s="70"/>
      <c r="AU37" s="70"/>
      <c r="AV37" s="59">
        <v>16</v>
      </c>
      <c r="AW37" s="59">
        <v>0</v>
      </c>
      <c r="AX37" s="63">
        <v>0</v>
      </c>
      <c r="AY37" t="s">
        <v>156</v>
      </c>
    </row>
    <row r="38" spans="1:51" x14ac:dyDescent="0.25">
      <c r="A38" s="499" t="s">
        <v>71</v>
      </c>
      <c r="B38" s="500"/>
      <c r="C38" s="324">
        <v>0</v>
      </c>
      <c r="D38" s="38">
        <v>0</v>
      </c>
      <c r="E38" s="39">
        <v>0</v>
      </c>
      <c r="F38" s="73">
        <v>0</v>
      </c>
      <c r="G38" s="74">
        <v>0</v>
      </c>
      <c r="H38" s="73"/>
      <c r="I38" s="74"/>
      <c r="J38" s="73"/>
      <c r="K38" s="74"/>
      <c r="L38" s="73"/>
      <c r="M38" s="74"/>
      <c r="N38" s="73"/>
      <c r="O38" s="74"/>
      <c r="P38" s="73"/>
      <c r="Q38" s="74"/>
      <c r="R38" s="73"/>
      <c r="S38" s="74"/>
      <c r="T38" s="73"/>
      <c r="U38" s="74"/>
      <c r="V38" s="73"/>
      <c r="W38" s="74"/>
      <c r="X38" s="73"/>
      <c r="Y38" s="74"/>
      <c r="Z38" s="73"/>
      <c r="AA38" s="74"/>
      <c r="AB38" s="73"/>
      <c r="AC38" s="74"/>
      <c r="AD38" s="73"/>
      <c r="AE38" s="74"/>
      <c r="AF38" s="73"/>
      <c r="AG38" s="74"/>
      <c r="AH38" s="73"/>
      <c r="AI38" s="74"/>
      <c r="AJ38" s="73"/>
      <c r="AK38" s="74"/>
      <c r="AL38" s="73"/>
      <c r="AM38" s="75"/>
      <c r="AN38" s="76"/>
      <c r="AO38" s="77"/>
      <c r="AP38" s="78"/>
      <c r="AQ38" s="74"/>
      <c r="AR38" s="78"/>
      <c r="AS38" s="74"/>
      <c r="AT38" s="79"/>
      <c r="AU38" s="79"/>
      <c r="AV38" s="79"/>
      <c r="AW38" s="79"/>
      <c r="AX38" s="79"/>
      <c r="AY38" t="s">
        <v>156</v>
      </c>
    </row>
    <row r="39" spans="1:51" ht="33" x14ac:dyDescent="0.25">
      <c r="A39" s="121" t="s">
        <v>72</v>
      </c>
      <c r="B39" s="120"/>
      <c r="C39" s="324">
        <v>277</v>
      </c>
      <c r="D39" s="38">
        <v>45</v>
      </c>
      <c r="E39" s="39">
        <v>232</v>
      </c>
      <c r="F39" s="73">
        <v>0</v>
      </c>
      <c r="G39" s="74">
        <v>0</v>
      </c>
      <c r="H39" s="73">
        <v>0</v>
      </c>
      <c r="I39" s="74">
        <v>1</v>
      </c>
      <c r="J39" s="73">
        <v>4</v>
      </c>
      <c r="K39" s="74">
        <v>4</v>
      </c>
      <c r="L39" s="73">
        <v>3</v>
      </c>
      <c r="M39" s="74">
        <v>7</v>
      </c>
      <c r="N39" s="73">
        <v>1</v>
      </c>
      <c r="O39" s="74">
        <v>4</v>
      </c>
      <c r="P39" s="73">
        <v>2</v>
      </c>
      <c r="Q39" s="74">
        <v>7</v>
      </c>
      <c r="R39" s="73">
        <v>2</v>
      </c>
      <c r="S39" s="74">
        <v>16</v>
      </c>
      <c r="T39" s="73">
        <v>1</v>
      </c>
      <c r="U39" s="74">
        <v>19</v>
      </c>
      <c r="V39" s="73">
        <v>2</v>
      </c>
      <c r="W39" s="74">
        <v>7</v>
      </c>
      <c r="X39" s="73">
        <v>0</v>
      </c>
      <c r="Y39" s="74">
        <v>8</v>
      </c>
      <c r="Z39" s="73">
        <v>2</v>
      </c>
      <c r="AA39" s="74">
        <v>18</v>
      </c>
      <c r="AB39" s="73">
        <v>2</v>
      </c>
      <c r="AC39" s="74">
        <v>27</v>
      </c>
      <c r="AD39" s="73">
        <v>6</v>
      </c>
      <c r="AE39" s="74">
        <v>42</v>
      </c>
      <c r="AF39" s="73">
        <v>4</v>
      </c>
      <c r="AG39" s="74">
        <v>28</v>
      </c>
      <c r="AH39" s="73">
        <v>4</v>
      </c>
      <c r="AI39" s="74">
        <v>18</v>
      </c>
      <c r="AJ39" s="73">
        <v>7</v>
      </c>
      <c r="AK39" s="74">
        <v>14</v>
      </c>
      <c r="AL39" s="73">
        <v>5</v>
      </c>
      <c r="AM39" s="75">
        <v>12</v>
      </c>
      <c r="AN39" s="76">
        <v>3</v>
      </c>
      <c r="AO39" s="77">
        <v>27</v>
      </c>
      <c r="AP39" s="78">
        <v>2</v>
      </c>
      <c r="AQ39" s="74">
        <v>12</v>
      </c>
      <c r="AR39" s="78">
        <v>1</v>
      </c>
      <c r="AS39" s="74">
        <v>6</v>
      </c>
      <c r="AT39" s="79">
        <v>0</v>
      </c>
      <c r="AU39" s="79">
        <v>1</v>
      </c>
      <c r="AV39" s="79">
        <v>0</v>
      </c>
      <c r="AW39" s="79">
        <v>1</v>
      </c>
      <c r="AX39" s="79">
        <v>0</v>
      </c>
      <c r="AY39" t="s">
        <v>156</v>
      </c>
    </row>
    <row r="40" spans="1:51" x14ac:dyDescent="0.25">
      <c r="A40" s="501" t="s">
        <v>73</v>
      </c>
      <c r="B40" s="501"/>
      <c r="C40" s="329">
        <v>5</v>
      </c>
      <c r="D40" s="108">
        <v>0</v>
      </c>
      <c r="E40" s="90">
        <v>5</v>
      </c>
      <c r="F40" s="81">
        <v>0</v>
      </c>
      <c r="G40" s="82">
        <v>0</v>
      </c>
      <c r="H40" s="81">
        <v>0</v>
      </c>
      <c r="I40" s="82">
        <v>0</v>
      </c>
      <c r="J40" s="81">
        <v>0</v>
      </c>
      <c r="K40" s="82">
        <v>0</v>
      </c>
      <c r="L40" s="81">
        <v>0</v>
      </c>
      <c r="M40" s="82">
        <v>2</v>
      </c>
      <c r="N40" s="81">
        <v>0</v>
      </c>
      <c r="O40" s="82">
        <v>2</v>
      </c>
      <c r="P40" s="81">
        <v>0</v>
      </c>
      <c r="Q40" s="82">
        <v>0</v>
      </c>
      <c r="R40" s="81">
        <v>0</v>
      </c>
      <c r="S40" s="82">
        <v>0</v>
      </c>
      <c r="T40" s="81">
        <v>0</v>
      </c>
      <c r="U40" s="82">
        <v>0</v>
      </c>
      <c r="V40" s="81">
        <v>0</v>
      </c>
      <c r="W40" s="82">
        <v>0</v>
      </c>
      <c r="X40" s="81">
        <v>0</v>
      </c>
      <c r="Y40" s="82">
        <v>0</v>
      </c>
      <c r="Z40" s="81">
        <v>0</v>
      </c>
      <c r="AA40" s="82">
        <v>0</v>
      </c>
      <c r="AB40" s="81">
        <v>0</v>
      </c>
      <c r="AC40" s="82">
        <v>1</v>
      </c>
      <c r="AD40" s="81">
        <v>0</v>
      </c>
      <c r="AE40" s="82">
        <v>0</v>
      </c>
      <c r="AF40" s="81">
        <v>0</v>
      </c>
      <c r="AG40" s="82">
        <v>0</v>
      </c>
      <c r="AH40" s="81">
        <v>0</v>
      </c>
      <c r="AI40" s="82">
        <v>0</v>
      </c>
      <c r="AJ40" s="81">
        <v>0</v>
      </c>
      <c r="AK40" s="82">
        <v>0</v>
      </c>
      <c r="AL40" s="81">
        <v>0</v>
      </c>
      <c r="AM40" s="83">
        <v>0</v>
      </c>
      <c r="AN40" s="84">
        <v>0</v>
      </c>
      <c r="AO40" s="85">
        <v>0</v>
      </c>
      <c r="AP40" s="86">
        <v>0</v>
      </c>
      <c r="AQ40" s="82">
        <v>0</v>
      </c>
      <c r="AR40" s="86">
        <v>0</v>
      </c>
      <c r="AS40" s="82">
        <v>1</v>
      </c>
      <c r="AT40" s="87">
        <v>0</v>
      </c>
      <c r="AU40" s="87">
        <v>0</v>
      </c>
      <c r="AV40" s="87">
        <v>0</v>
      </c>
      <c r="AW40" s="87">
        <v>0</v>
      </c>
      <c r="AX40" s="87">
        <v>0</v>
      </c>
      <c r="AY40" t="s">
        <v>156</v>
      </c>
    </row>
    <row r="41" spans="1:51" x14ac:dyDescent="0.25">
      <c r="A41" s="501" t="s">
        <v>74</v>
      </c>
      <c r="B41" s="501"/>
      <c r="C41" s="329">
        <v>11</v>
      </c>
      <c r="D41" s="108">
        <v>6</v>
      </c>
      <c r="E41" s="90">
        <v>5</v>
      </c>
      <c r="F41" s="81">
        <v>0</v>
      </c>
      <c r="G41" s="82">
        <v>0</v>
      </c>
      <c r="H41" s="81">
        <v>0</v>
      </c>
      <c r="I41" s="82">
        <v>0</v>
      </c>
      <c r="J41" s="81">
        <v>1</v>
      </c>
      <c r="K41" s="82">
        <v>1</v>
      </c>
      <c r="L41" s="81">
        <v>0</v>
      </c>
      <c r="M41" s="82">
        <v>0</v>
      </c>
      <c r="N41" s="81">
        <v>0</v>
      </c>
      <c r="O41" s="82">
        <v>0</v>
      </c>
      <c r="P41" s="81">
        <v>2</v>
      </c>
      <c r="Q41" s="82">
        <v>0</v>
      </c>
      <c r="R41" s="81">
        <v>0</v>
      </c>
      <c r="S41" s="82">
        <v>1</v>
      </c>
      <c r="T41" s="81">
        <v>1</v>
      </c>
      <c r="U41" s="82">
        <v>0</v>
      </c>
      <c r="V41" s="81">
        <v>0</v>
      </c>
      <c r="W41" s="82">
        <v>1</v>
      </c>
      <c r="X41" s="81">
        <v>0</v>
      </c>
      <c r="Y41" s="82">
        <v>1</v>
      </c>
      <c r="Z41" s="81">
        <v>0</v>
      </c>
      <c r="AA41" s="82">
        <v>0</v>
      </c>
      <c r="AB41" s="81">
        <v>1</v>
      </c>
      <c r="AC41" s="82">
        <v>0</v>
      </c>
      <c r="AD41" s="81">
        <v>0</v>
      </c>
      <c r="AE41" s="82">
        <v>0</v>
      </c>
      <c r="AF41" s="81">
        <v>1</v>
      </c>
      <c r="AG41" s="82">
        <v>1</v>
      </c>
      <c r="AH41" s="81">
        <v>0</v>
      </c>
      <c r="AI41" s="82">
        <v>0</v>
      </c>
      <c r="AJ41" s="81">
        <v>0</v>
      </c>
      <c r="AK41" s="82">
        <v>0</v>
      </c>
      <c r="AL41" s="81">
        <v>0</v>
      </c>
      <c r="AM41" s="83">
        <v>0</v>
      </c>
      <c r="AN41" s="84">
        <v>0</v>
      </c>
      <c r="AO41" s="85">
        <v>0</v>
      </c>
      <c r="AP41" s="86">
        <v>1</v>
      </c>
      <c r="AQ41" s="82">
        <v>0</v>
      </c>
      <c r="AR41" s="86">
        <v>0</v>
      </c>
      <c r="AS41" s="82">
        <v>0</v>
      </c>
      <c r="AT41" s="87">
        <v>0</v>
      </c>
      <c r="AU41" s="87">
        <v>0</v>
      </c>
      <c r="AV41" s="87">
        <v>0</v>
      </c>
      <c r="AW41" s="87">
        <v>0</v>
      </c>
      <c r="AX41" s="87">
        <v>0</v>
      </c>
      <c r="AY41" t="s">
        <v>156</v>
      </c>
    </row>
    <row r="42" spans="1:51" x14ac:dyDescent="0.25">
      <c r="A42" s="502" t="s">
        <v>75</v>
      </c>
      <c r="B42" s="502"/>
      <c r="C42" s="325">
        <v>197</v>
      </c>
      <c r="D42" s="48">
        <v>24</v>
      </c>
      <c r="E42" s="49">
        <v>173</v>
      </c>
      <c r="F42" s="50">
        <v>0</v>
      </c>
      <c r="G42" s="51">
        <v>0</v>
      </c>
      <c r="H42" s="50">
        <v>0</v>
      </c>
      <c r="I42" s="51">
        <v>0</v>
      </c>
      <c r="J42" s="50">
        <v>0</v>
      </c>
      <c r="K42" s="51">
        <v>1</v>
      </c>
      <c r="L42" s="50">
        <v>1</v>
      </c>
      <c r="M42" s="51">
        <v>8</v>
      </c>
      <c r="N42" s="50">
        <v>3</v>
      </c>
      <c r="O42" s="51">
        <v>11</v>
      </c>
      <c r="P42" s="50">
        <v>4</v>
      </c>
      <c r="Q42" s="51">
        <v>13</v>
      </c>
      <c r="R42" s="50">
        <v>3</v>
      </c>
      <c r="S42" s="51">
        <v>14</v>
      </c>
      <c r="T42" s="50">
        <v>2</v>
      </c>
      <c r="U42" s="51">
        <v>11</v>
      </c>
      <c r="V42" s="50">
        <v>1</v>
      </c>
      <c r="W42" s="51">
        <v>10</v>
      </c>
      <c r="X42" s="50">
        <v>2</v>
      </c>
      <c r="Y42" s="51">
        <v>6</v>
      </c>
      <c r="Z42" s="50">
        <v>0</v>
      </c>
      <c r="AA42" s="51">
        <v>12</v>
      </c>
      <c r="AB42" s="50">
        <v>1</v>
      </c>
      <c r="AC42" s="51">
        <v>23</v>
      </c>
      <c r="AD42" s="50">
        <v>4</v>
      </c>
      <c r="AE42" s="51">
        <v>24</v>
      </c>
      <c r="AF42" s="50">
        <v>1</v>
      </c>
      <c r="AG42" s="51">
        <v>22</v>
      </c>
      <c r="AH42" s="50">
        <v>2</v>
      </c>
      <c r="AI42" s="51">
        <v>11</v>
      </c>
      <c r="AJ42" s="50">
        <v>0</v>
      </c>
      <c r="AK42" s="51">
        <v>5</v>
      </c>
      <c r="AL42" s="50">
        <v>0</v>
      </c>
      <c r="AM42" s="52">
        <v>2</v>
      </c>
      <c r="AN42" s="53">
        <v>3</v>
      </c>
      <c r="AO42" s="54">
        <v>13</v>
      </c>
      <c r="AP42" s="55">
        <v>1</v>
      </c>
      <c r="AQ42" s="51">
        <v>7</v>
      </c>
      <c r="AR42" s="55">
        <v>1</v>
      </c>
      <c r="AS42" s="51">
        <v>5</v>
      </c>
      <c r="AT42" s="56">
        <v>0</v>
      </c>
      <c r="AU42" s="56">
        <v>0</v>
      </c>
      <c r="AV42" s="56">
        <v>0</v>
      </c>
      <c r="AW42" s="56">
        <v>3</v>
      </c>
      <c r="AX42" s="56">
        <v>0</v>
      </c>
      <c r="AY42" t="s">
        <v>156</v>
      </c>
    </row>
    <row r="43" spans="1:51" x14ac:dyDescent="0.25">
      <c r="A43" s="503" t="s">
        <v>76</v>
      </c>
      <c r="B43" s="133" t="s">
        <v>77</v>
      </c>
      <c r="C43" s="334">
        <v>37</v>
      </c>
      <c r="D43" s="134">
        <v>19</v>
      </c>
      <c r="E43" s="135">
        <v>18</v>
      </c>
      <c r="F43" s="136">
        <v>0</v>
      </c>
      <c r="G43" s="137">
        <v>0</v>
      </c>
      <c r="H43" s="136">
        <v>0</v>
      </c>
      <c r="I43" s="137">
        <v>0</v>
      </c>
      <c r="J43" s="136">
        <v>2</v>
      </c>
      <c r="K43" s="137">
        <v>2</v>
      </c>
      <c r="L43" s="136">
        <v>9</v>
      </c>
      <c r="M43" s="137">
        <v>6</v>
      </c>
      <c r="N43" s="136">
        <v>2</v>
      </c>
      <c r="O43" s="137">
        <v>5</v>
      </c>
      <c r="P43" s="136">
        <v>2</v>
      </c>
      <c r="Q43" s="137">
        <v>2</v>
      </c>
      <c r="R43" s="136">
        <v>0</v>
      </c>
      <c r="S43" s="137">
        <v>1</v>
      </c>
      <c r="T43" s="136">
        <v>2</v>
      </c>
      <c r="U43" s="137">
        <v>0</v>
      </c>
      <c r="V43" s="136">
        <v>1</v>
      </c>
      <c r="W43" s="137">
        <v>1</v>
      </c>
      <c r="X43" s="136">
        <v>0</v>
      </c>
      <c r="Y43" s="137">
        <v>0</v>
      </c>
      <c r="Z43" s="136">
        <v>1</v>
      </c>
      <c r="AA43" s="137">
        <v>0</v>
      </c>
      <c r="AB43" s="136">
        <v>0</v>
      </c>
      <c r="AC43" s="137">
        <v>0</v>
      </c>
      <c r="AD43" s="136">
        <v>0</v>
      </c>
      <c r="AE43" s="137">
        <v>1</v>
      </c>
      <c r="AF43" s="136">
        <v>0</v>
      </c>
      <c r="AG43" s="137">
        <v>0</v>
      </c>
      <c r="AH43" s="136">
        <v>0</v>
      </c>
      <c r="AI43" s="137">
        <v>0</v>
      </c>
      <c r="AJ43" s="136">
        <v>0</v>
      </c>
      <c r="AK43" s="137">
        <v>0</v>
      </c>
      <c r="AL43" s="136">
        <v>0</v>
      </c>
      <c r="AM43" s="138">
        <v>0</v>
      </c>
      <c r="AN43" s="76">
        <v>0</v>
      </c>
      <c r="AO43" s="77">
        <v>0</v>
      </c>
      <c r="AP43" s="78">
        <v>0</v>
      </c>
      <c r="AQ43" s="74">
        <v>1</v>
      </c>
      <c r="AR43" s="139">
        <v>0</v>
      </c>
      <c r="AS43" s="137">
        <v>0</v>
      </c>
      <c r="AT43" s="140">
        <v>0</v>
      </c>
      <c r="AU43" s="140">
        <v>0</v>
      </c>
      <c r="AV43" s="140">
        <v>0</v>
      </c>
      <c r="AW43" s="140">
        <v>0</v>
      </c>
      <c r="AX43" s="140">
        <v>0</v>
      </c>
      <c r="AY43" t="s">
        <v>156</v>
      </c>
    </row>
    <row r="44" spans="1:51" x14ac:dyDescent="0.25">
      <c r="A44" s="504"/>
      <c r="B44" s="141" t="s">
        <v>78</v>
      </c>
      <c r="C44" s="328">
        <v>2</v>
      </c>
      <c r="D44" s="96">
        <v>2</v>
      </c>
      <c r="E44" s="97">
        <v>0</v>
      </c>
      <c r="F44" s="98">
        <v>0</v>
      </c>
      <c r="G44" s="99">
        <v>0</v>
      </c>
      <c r="H44" s="98">
        <v>0</v>
      </c>
      <c r="I44" s="99">
        <v>0</v>
      </c>
      <c r="J44" s="98">
        <v>0</v>
      </c>
      <c r="K44" s="99">
        <v>0</v>
      </c>
      <c r="L44" s="98">
        <v>0</v>
      </c>
      <c r="M44" s="99">
        <v>0</v>
      </c>
      <c r="N44" s="98">
        <v>1</v>
      </c>
      <c r="O44" s="99">
        <v>0</v>
      </c>
      <c r="P44" s="98">
        <v>1</v>
      </c>
      <c r="Q44" s="99">
        <v>0</v>
      </c>
      <c r="R44" s="98">
        <v>0</v>
      </c>
      <c r="S44" s="99">
        <v>0</v>
      </c>
      <c r="T44" s="98">
        <v>0</v>
      </c>
      <c r="U44" s="99">
        <v>0</v>
      </c>
      <c r="V44" s="98">
        <v>0</v>
      </c>
      <c r="W44" s="99">
        <v>0</v>
      </c>
      <c r="X44" s="98">
        <v>0</v>
      </c>
      <c r="Y44" s="99">
        <v>0</v>
      </c>
      <c r="Z44" s="98">
        <v>0</v>
      </c>
      <c r="AA44" s="99">
        <v>0</v>
      </c>
      <c r="AB44" s="98">
        <v>0</v>
      </c>
      <c r="AC44" s="99">
        <v>0</v>
      </c>
      <c r="AD44" s="98">
        <v>0</v>
      </c>
      <c r="AE44" s="99">
        <v>0</v>
      </c>
      <c r="AF44" s="98">
        <v>0</v>
      </c>
      <c r="AG44" s="99">
        <v>0</v>
      </c>
      <c r="AH44" s="98">
        <v>0</v>
      </c>
      <c r="AI44" s="99">
        <v>0</v>
      </c>
      <c r="AJ44" s="98">
        <v>0</v>
      </c>
      <c r="AK44" s="99">
        <v>0</v>
      </c>
      <c r="AL44" s="98">
        <v>0</v>
      </c>
      <c r="AM44" s="100">
        <v>0</v>
      </c>
      <c r="AN44" s="84">
        <v>0</v>
      </c>
      <c r="AO44" s="85">
        <v>0</v>
      </c>
      <c r="AP44" s="86">
        <v>0</v>
      </c>
      <c r="AQ44" s="82">
        <v>0</v>
      </c>
      <c r="AR44" s="103">
        <v>0</v>
      </c>
      <c r="AS44" s="99">
        <v>0</v>
      </c>
      <c r="AT44" s="104">
        <v>0</v>
      </c>
      <c r="AU44" s="104">
        <v>0</v>
      </c>
      <c r="AV44" s="104">
        <v>0</v>
      </c>
      <c r="AW44" s="104">
        <v>0</v>
      </c>
      <c r="AX44" s="104">
        <v>0</v>
      </c>
      <c r="AY44" t="s">
        <v>156</v>
      </c>
    </row>
    <row r="45" spans="1:51" ht="22.5" x14ac:dyDescent="0.25">
      <c r="A45" s="504"/>
      <c r="B45" s="141" t="s">
        <v>79</v>
      </c>
      <c r="C45" s="328">
        <v>0</v>
      </c>
      <c r="D45" s="96">
        <v>0</v>
      </c>
      <c r="E45" s="97">
        <v>0</v>
      </c>
      <c r="F45" s="98">
        <v>0</v>
      </c>
      <c r="G45" s="99">
        <v>0</v>
      </c>
      <c r="H45" s="98"/>
      <c r="I45" s="99"/>
      <c r="J45" s="98"/>
      <c r="K45" s="99"/>
      <c r="L45" s="98"/>
      <c r="M45" s="99"/>
      <c r="N45" s="98"/>
      <c r="O45" s="99"/>
      <c r="P45" s="98"/>
      <c r="Q45" s="99"/>
      <c r="R45" s="98"/>
      <c r="S45" s="99"/>
      <c r="T45" s="98"/>
      <c r="U45" s="99"/>
      <c r="V45" s="98"/>
      <c r="W45" s="99"/>
      <c r="X45" s="98"/>
      <c r="Y45" s="99"/>
      <c r="Z45" s="98"/>
      <c r="AA45" s="99"/>
      <c r="AB45" s="98"/>
      <c r="AC45" s="99"/>
      <c r="AD45" s="98"/>
      <c r="AE45" s="99"/>
      <c r="AF45" s="98"/>
      <c r="AG45" s="99"/>
      <c r="AH45" s="98"/>
      <c r="AI45" s="99"/>
      <c r="AJ45" s="98"/>
      <c r="AK45" s="99"/>
      <c r="AL45" s="98"/>
      <c r="AM45" s="100"/>
      <c r="AN45" s="84"/>
      <c r="AO45" s="85"/>
      <c r="AP45" s="86"/>
      <c r="AQ45" s="82"/>
      <c r="AR45" s="103"/>
      <c r="AS45" s="99"/>
      <c r="AT45" s="104"/>
      <c r="AU45" s="104"/>
      <c r="AV45" s="104"/>
      <c r="AW45" s="104"/>
      <c r="AX45" s="104"/>
      <c r="AY45" t="s">
        <v>156</v>
      </c>
    </row>
    <row r="46" spans="1:51" ht="54" x14ac:dyDescent="0.25">
      <c r="A46" s="504"/>
      <c r="B46" s="141" t="s">
        <v>80</v>
      </c>
      <c r="C46" s="328">
        <v>0</v>
      </c>
      <c r="D46" s="96">
        <v>0</v>
      </c>
      <c r="E46" s="97">
        <v>0</v>
      </c>
      <c r="F46" s="98">
        <v>0</v>
      </c>
      <c r="G46" s="99">
        <v>0</v>
      </c>
      <c r="H46" s="98"/>
      <c r="I46" s="99"/>
      <c r="J46" s="98"/>
      <c r="K46" s="99"/>
      <c r="L46" s="98"/>
      <c r="M46" s="99"/>
      <c r="N46" s="98"/>
      <c r="O46" s="99"/>
      <c r="P46" s="98"/>
      <c r="Q46" s="99"/>
      <c r="R46" s="98"/>
      <c r="S46" s="99"/>
      <c r="T46" s="98"/>
      <c r="U46" s="99"/>
      <c r="V46" s="98"/>
      <c r="W46" s="99"/>
      <c r="X46" s="98"/>
      <c r="Y46" s="99"/>
      <c r="Z46" s="98"/>
      <c r="AA46" s="99"/>
      <c r="AB46" s="98"/>
      <c r="AC46" s="99"/>
      <c r="AD46" s="98"/>
      <c r="AE46" s="99"/>
      <c r="AF46" s="98"/>
      <c r="AG46" s="99"/>
      <c r="AH46" s="98"/>
      <c r="AI46" s="99"/>
      <c r="AJ46" s="98"/>
      <c r="AK46" s="99"/>
      <c r="AL46" s="98"/>
      <c r="AM46" s="100"/>
      <c r="AN46" s="84"/>
      <c r="AO46" s="85"/>
      <c r="AP46" s="86"/>
      <c r="AQ46" s="82"/>
      <c r="AR46" s="103"/>
      <c r="AS46" s="99"/>
      <c r="AT46" s="104"/>
      <c r="AU46" s="104"/>
      <c r="AV46" s="104"/>
      <c r="AW46" s="104"/>
      <c r="AX46" s="104"/>
      <c r="AY46" t="s">
        <v>156</v>
      </c>
    </row>
    <row r="47" spans="1:51" ht="64.5" x14ac:dyDescent="0.25">
      <c r="A47" s="505"/>
      <c r="B47" s="142" t="s">
        <v>81</v>
      </c>
      <c r="C47" s="325">
        <v>7</v>
      </c>
      <c r="D47" s="48">
        <v>4</v>
      </c>
      <c r="E47" s="49">
        <v>3</v>
      </c>
      <c r="F47" s="50">
        <v>0</v>
      </c>
      <c r="G47" s="51">
        <v>0</v>
      </c>
      <c r="H47" s="50">
        <v>0</v>
      </c>
      <c r="I47" s="51">
        <v>0</v>
      </c>
      <c r="J47" s="50">
        <v>1</v>
      </c>
      <c r="K47" s="51">
        <v>1</v>
      </c>
      <c r="L47" s="50">
        <v>1</v>
      </c>
      <c r="M47" s="51">
        <v>1</v>
      </c>
      <c r="N47" s="50">
        <v>0</v>
      </c>
      <c r="O47" s="51">
        <v>1</v>
      </c>
      <c r="P47" s="50">
        <v>0</v>
      </c>
      <c r="Q47" s="51">
        <v>0</v>
      </c>
      <c r="R47" s="50">
        <v>1</v>
      </c>
      <c r="S47" s="51">
        <v>0</v>
      </c>
      <c r="T47" s="50">
        <v>1</v>
      </c>
      <c r="U47" s="51">
        <v>0</v>
      </c>
      <c r="V47" s="50">
        <v>0</v>
      </c>
      <c r="W47" s="51">
        <v>0</v>
      </c>
      <c r="X47" s="50">
        <v>0</v>
      </c>
      <c r="Y47" s="51">
        <v>0</v>
      </c>
      <c r="Z47" s="50">
        <v>0</v>
      </c>
      <c r="AA47" s="51">
        <v>0</v>
      </c>
      <c r="AB47" s="50">
        <v>0</v>
      </c>
      <c r="AC47" s="51">
        <v>0</v>
      </c>
      <c r="AD47" s="50">
        <v>0</v>
      </c>
      <c r="AE47" s="51">
        <v>0</v>
      </c>
      <c r="AF47" s="50">
        <v>0</v>
      </c>
      <c r="AG47" s="51">
        <v>0</v>
      </c>
      <c r="AH47" s="50">
        <v>0</v>
      </c>
      <c r="AI47" s="51">
        <v>0</v>
      </c>
      <c r="AJ47" s="50">
        <v>0</v>
      </c>
      <c r="AK47" s="51">
        <v>0</v>
      </c>
      <c r="AL47" s="50">
        <v>0</v>
      </c>
      <c r="AM47" s="52">
        <v>0</v>
      </c>
      <c r="AN47" s="53">
        <v>0</v>
      </c>
      <c r="AO47" s="54">
        <v>0</v>
      </c>
      <c r="AP47" s="55">
        <v>0</v>
      </c>
      <c r="AQ47" s="51">
        <v>0</v>
      </c>
      <c r="AR47" s="55">
        <v>0</v>
      </c>
      <c r="AS47" s="51">
        <v>0</v>
      </c>
      <c r="AT47" s="56">
        <v>0</v>
      </c>
      <c r="AU47" s="56">
        <v>1</v>
      </c>
      <c r="AV47" s="56">
        <v>0</v>
      </c>
      <c r="AW47" s="56">
        <v>1</v>
      </c>
      <c r="AX47" s="56">
        <v>0</v>
      </c>
      <c r="AY47" t="s">
        <v>156</v>
      </c>
    </row>
    <row r="48" spans="1:51" x14ac:dyDescent="0.25">
      <c r="A48" s="143" t="s">
        <v>82</v>
      </c>
      <c r="B48" s="144"/>
      <c r="C48" s="334">
        <v>0</v>
      </c>
      <c r="D48" s="134">
        <v>0</v>
      </c>
      <c r="E48" s="135">
        <v>0</v>
      </c>
      <c r="F48" s="136">
        <v>0</v>
      </c>
      <c r="G48" s="137">
        <v>0</v>
      </c>
      <c r="H48" s="136"/>
      <c r="I48" s="137"/>
      <c r="J48" s="136"/>
      <c r="K48" s="137"/>
      <c r="L48" s="136"/>
      <c r="M48" s="137"/>
      <c r="N48" s="136"/>
      <c r="O48" s="137"/>
      <c r="P48" s="136"/>
      <c r="Q48" s="137"/>
      <c r="R48" s="136"/>
      <c r="S48" s="137"/>
      <c r="T48" s="136"/>
      <c r="U48" s="137"/>
      <c r="V48" s="136"/>
      <c r="W48" s="137"/>
      <c r="X48" s="136"/>
      <c r="Y48" s="137"/>
      <c r="Z48" s="136"/>
      <c r="AA48" s="137"/>
      <c r="AB48" s="136"/>
      <c r="AC48" s="137"/>
      <c r="AD48" s="136"/>
      <c r="AE48" s="137"/>
      <c r="AF48" s="136"/>
      <c r="AG48" s="137"/>
      <c r="AH48" s="136"/>
      <c r="AI48" s="137"/>
      <c r="AJ48" s="136"/>
      <c r="AK48" s="137"/>
      <c r="AL48" s="136"/>
      <c r="AM48" s="138"/>
      <c r="AN48" s="76"/>
      <c r="AO48" s="77"/>
      <c r="AP48" s="139"/>
      <c r="AQ48" s="137"/>
      <c r="AR48" s="139"/>
      <c r="AS48" s="137"/>
      <c r="AT48" s="140"/>
      <c r="AU48" s="140"/>
      <c r="AV48" s="140"/>
      <c r="AW48" s="140"/>
      <c r="AX48" s="140"/>
      <c r="AY48" t="s">
        <v>156</v>
      </c>
    </row>
    <row r="49" spans="1:51" x14ac:dyDescent="0.25">
      <c r="A49" s="484" t="s">
        <v>83</v>
      </c>
      <c r="B49" s="498"/>
      <c r="C49" s="325">
        <v>175</v>
      </c>
      <c r="D49" s="48">
        <v>45</v>
      </c>
      <c r="E49" s="145">
        <v>130</v>
      </c>
      <c r="F49" s="50">
        <v>0</v>
      </c>
      <c r="G49" s="51">
        <v>0</v>
      </c>
      <c r="H49" s="50">
        <v>2</v>
      </c>
      <c r="I49" s="51">
        <v>0</v>
      </c>
      <c r="J49" s="50">
        <v>2</v>
      </c>
      <c r="K49" s="51">
        <v>2</v>
      </c>
      <c r="L49" s="50">
        <v>2</v>
      </c>
      <c r="M49" s="51">
        <v>5</v>
      </c>
      <c r="N49" s="50">
        <v>3</v>
      </c>
      <c r="O49" s="51">
        <v>3</v>
      </c>
      <c r="P49" s="50">
        <v>5</v>
      </c>
      <c r="Q49" s="51">
        <v>7</v>
      </c>
      <c r="R49" s="50">
        <v>0</v>
      </c>
      <c r="S49" s="51">
        <v>5</v>
      </c>
      <c r="T49" s="50">
        <v>3</v>
      </c>
      <c r="U49" s="51">
        <v>6</v>
      </c>
      <c r="V49" s="50">
        <v>1</v>
      </c>
      <c r="W49" s="51">
        <v>4</v>
      </c>
      <c r="X49" s="50">
        <v>1</v>
      </c>
      <c r="Y49" s="51">
        <v>3</v>
      </c>
      <c r="Z49" s="50">
        <v>3</v>
      </c>
      <c r="AA49" s="51">
        <v>10</v>
      </c>
      <c r="AB49" s="50">
        <v>2</v>
      </c>
      <c r="AC49" s="51">
        <v>19</v>
      </c>
      <c r="AD49" s="50">
        <v>2</v>
      </c>
      <c r="AE49" s="51">
        <v>26</v>
      </c>
      <c r="AF49" s="50">
        <v>5</v>
      </c>
      <c r="AG49" s="51">
        <v>15</v>
      </c>
      <c r="AH49" s="50">
        <v>6</v>
      </c>
      <c r="AI49" s="51">
        <v>10</v>
      </c>
      <c r="AJ49" s="50">
        <v>4</v>
      </c>
      <c r="AK49" s="51">
        <v>7</v>
      </c>
      <c r="AL49" s="50">
        <v>4</v>
      </c>
      <c r="AM49" s="52">
        <v>8</v>
      </c>
      <c r="AN49" s="53">
        <v>0</v>
      </c>
      <c r="AO49" s="54">
        <v>6</v>
      </c>
      <c r="AP49" s="55">
        <v>2</v>
      </c>
      <c r="AQ49" s="51">
        <v>2</v>
      </c>
      <c r="AR49" s="55">
        <v>0</v>
      </c>
      <c r="AS49" s="51">
        <v>2</v>
      </c>
      <c r="AT49" s="56">
        <v>0</v>
      </c>
      <c r="AU49" s="56">
        <v>3</v>
      </c>
      <c r="AV49" s="56">
        <v>0</v>
      </c>
      <c r="AW49" s="56">
        <v>2</v>
      </c>
      <c r="AX49" s="56">
        <v>1</v>
      </c>
      <c r="AY49" t="s">
        <v>156</v>
      </c>
    </row>
  </sheetData>
  <mergeCells count="45">
    <mergeCell ref="A49:B49"/>
    <mergeCell ref="A35:A37"/>
    <mergeCell ref="A38:B38"/>
    <mergeCell ref="A40:B40"/>
    <mergeCell ref="A41:B41"/>
    <mergeCell ref="A42:B42"/>
    <mergeCell ref="A43:A47"/>
    <mergeCell ref="A13:A14"/>
    <mergeCell ref="A15:B15"/>
    <mergeCell ref="A16:A20"/>
    <mergeCell ref="A21:A25"/>
    <mergeCell ref="A26:A29"/>
    <mergeCell ref="A30:A34"/>
    <mergeCell ref="AJ2:AK2"/>
    <mergeCell ref="AL2:AM2"/>
    <mergeCell ref="A4:B4"/>
    <mergeCell ref="A5:B5"/>
    <mergeCell ref="A6:A7"/>
    <mergeCell ref="A12:B12"/>
    <mergeCell ref="X2:Y2"/>
    <mergeCell ref="Z2:AA2"/>
    <mergeCell ref="AB2:AC2"/>
    <mergeCell ref="AD2:AE2"/>
    <mergeCell ref="AF2:AG2"/>
    <mergeCell ref="AH2:AI2"/>
    <mergeCell ref="F2:G2"/>
    <mergeCell ref="H2:I2"/>
    <mergeCell ref="J2:K2"/>
    <mergeCell ref="AR1:AS2"/>
    <mergeCell ref="AT1:AT3"/>
    <mergeCell ref="AU1:AU3"/>
    <mergeCell ref="AV1:AV3"/>
    <mergeCell ref="AW1:AX2"/>
    <mergeCell ref="L2:M2"/>
    <mergeCell ref="N2:O2"/>
    <mergeCell ref="A1:B3"/>
    <mergeCell ref="C1:E2"/>
    <mergeCell ref="F1:AM1"/>
    <mergeCell ref="AN1:AN3"/>
    <mergeCell ref="AO1:AO3"/>
    <mergeCell ref="AP1:AQ2"/>
    <mergeCell ref="P2:Q2"/>
    <mergeCell ref="R2:S2"/>
    <mergeCell ref="T2:U2"/>
    <mergeCell ref="V2:W2"/>
  </mergeCells>
  <dataValidations count="1">
    <dataValidation type="whole" operator="greaterThanOrEqual" allowBlank="1" showInputMessage="1" showErrorMessage="1" sqref="F4:AX49" xr:uid="{18DD3F3F-33E2-4390-97CB-0A76F377144B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0A4F9-383C-4D89-93CA-B4A6D73D1389}">
  <dimension ref="A1:E52"/>
  <sheetViews>
    <sheetView topLeftCell="A7" zoomScale="70" zoomScaleNormal="70" workbookViewId="0">
      <selection activeCell="E45" sqref="E45"/>
    </sheetView>
  </sheetViews>
  <sheetFormatPr baseColWidth="10" defaultRowHeight="15" x14ac:dyDescent="0.25"/>
  <cols>
    <col min="1" max="1" width="42.42578125" bestFit="1" customWidth="1"/>
    <col min="2" max="2" width="44.28515625" bestFit="1" customWidth="1"/>
    <col min="3" max="3" width="39.42578125" bestFit="1" customWidth="1"/>
  </cols>
  <sheetData>
    <row r="1" spans="1:5" x14ac:dyDescent="0.25">
      <c r="A1" s="466" t="s">
        <v>0</v>
      </c>
      <c r="B1" s="467"/>
    </row>
    <row r="2" spans="1:5" x14ac:dyDescent="0.25">
      <c r="A2" s="468"/>
      <c r="B2" s="469"/>
    </row>
    <row r="3" spans="1:5" x14ac:dyDescent="0.25">
      <c r="A3" s="470"/>
      <c r="B3" s="471"/>
      <c r="C3" t="s">
        <v>197</v>
      </c>
    </row>
    <row r="4" spans="1:5" x14ac:dyDescent="0.25">
      <c r="A4" s="480" t="s">
        <v>34</v>
      </c>
      <c r="B4" s="481"/>
      <c r="C4" t="s">
        <v>194</v>
      </c>
      <c r="D4" t="s">
        <v>195</v>
      </c>
      <c r="E4" t="s">
        <v>196</v>
      </c>
    </row>
    <row r="5" spans="1:5" x14ac:dyDescent="0.25">
      <c r="A5" s="480" t="s">
        <v>35</v>
      </c>
      <c r="B5" s="482"/>
    </row>
    <row r="6" spans="1:5" x14ac:dyDescent="0.25">
      <c r="A6" s="483" t="s">
        <v>191</v>
      </c>
      <c r="B6" s="37" t="s">
        <v>37</v>
      </c>
    </row>
    <row r="7" spans="1:5" x14ac:dyDescent="0.25">
      <c r="A7" s="484"/>
      <c r="B7" s="47" t="s">
        <v>38</v>
      </c>
    </row>
    <row r="8" spans="1:5" x14ac:dyDescent="0.25">
      <c r="A8" s="456" t="s">
        <v>192</v>
      </c>
      <c r="B8" s="301" t="s">
        <v>37</v>
      </c>
    </row>
    <row r="9" spans="1:5" x14ac:dyDescent="0.25">
      <c r="A9" s="457"/>
      <c r="B9" s="301" t="s">
        <v>38</v>
      </c>
    </row>
    <row r="10" spans="1:5" x14ac:dyDescent="0.25">
      <c r="A10" s="456" t="s">
        <v>193</v>
      </c>
      <c r="B10" s="301" t="s">
        <v>37</v>
      </c>
    </row>
    <row r="11" spans="1:5" x14ac:dyDescent="0.25">
      <c r="A11" s="457"/>
      <c r="B11" s="301" t="s">
        <v>38</v>
      </c>
    </row>
    <row r="12" spans="1:5" x14ac:dyDescent="0.25">
      <c r="A12" s="485" t="s">
        <v>39</v>
      </c>
      <c r="B12" s="486"/>
    </row>
    <row r="13" spans="1:5" x14ac:dyDescent="0.25">
      <c r="A13" s="474" t="s">
        <v>40</v>
      </c>
      <c r="B13" s="66" t="s">
        <v>41</v>
      </c>
    </row>
    <row r="14" spans="1:5" x14ac:dyDescent="0.25">
      <c r="A14" s="445"/>
      <c r="B14" s="69" t="s">
        <v>42</v>
      </c>
    </row>
    <row r="15" spans="1:5" x14ac:dyDescent="0.25">
      <c r="A15" s="480" t="s">
        <v>43</v>
      </c>
      <c r="B15" s="488"/>
    </row>
    <row r="16" spans="1:5" x14ac:dyDescent="0.25">
      <c r="A16" s="489" t="s">
        <v>44</v>
      </c>
      <c r="B16" s="37" t="s">
        <v>45</v>
      </c>
      <c r="C16">
        <v>3</v>
      </c>
    </row>
    <row r="17" spans="1:5" x14ac:dyDescent="0.25">
      <c r="A17" s="490"/>
      <c r="B17" s="80" t="s">
        <v>46</v>
      </c>
      <c r="C17">
        <v>3</v>
      </c>
    </row>
    <row r="18" spans="1:5" x14ac:dyDescent="0.25">
      <c r="A18" s="490"/>
      <c r="B18" s="80" t="s">
        <v>47</v>
      </c>
      <c r="C18">
        <v>2</v>
      </c>
    </row>
    <row r="19" spans="1:5" x14ac:dyDescent="0.25">
      <c r="A19" s="491"/>
      <c r="B19" s="88" t="s">
        <v>48</v>
      </c>
    </row>
    <row r="20" spans="1:5" x14ac:dyDescent="0.25">
      <c r="A20" s="492"/>
      <c r="B20" s="47" t="s">
        <v>49</v>
      </c>
      <c r="D20">
        <v>0</v>
      </c>
    </row>
    <row r="21" spans="1:5" s="354" customFormat="1" x14ac:dyDescent="0.25">
      <c r="A21" s="506" t="s">
        <v>198</v>
      </c>
      <c r="B21" s="507"/>
    </row>
    <row r="22" spans="1:5" s="354" customFormat="1" x14ac:dyDescent="0.25">
      <c r="A22" s="508"/>
      <c r="B22" s="509"/>
    </row>
    <row r="23" spans="1:5" s="354" customFormat="1" x14ac:dyDescent="0.25">
      <c r="A23" s="510"/>
      <c r="B23" s="511"/>
    </row>
    <row r="24" spans="1:5" x14ac:dyDescent="0.25">
      <c r="A24" s="489" t="s">
        <v>50</v>
      </c>
      <c r="B24" s="105" t="s">
        <v>51</v>
      </c>
      <c r="E24">
        <v>1</v>
      </c>
    </row>
    <row r="25" spans="1:5" x14ac:dyDescent="0.25">
      <c r="A25" s="493"/>
      <c r="B25" s="107" t="s">
        <v>52</v>
      </c>
    </row>
    <row r="26" spans="1:5" x14ac:dyDescent="0.25">
      <c r="A26" s="494"/>
      <c r="B26" s="109" t="s">
        <v>53</v>
      </c>
    </row>
    <row r="27" spans="1:5" x14ac:dyDescent="0.25">
      <c r="A27" s="494"/>
      <c r="B27" s="109" t="s">
        <v>54</v>
      </c>
    </row>
    <row r="28" spans="1:5" x14ac:dyDescent="0.25">
      <c r="A28" s="492"/>
      <c r="B28" s="110" t="s">
        <v>55</v>
      </c>
      <c r="E28">
        <v>1</v>
      </c>
    </row>
    <row r="29" spans="1:5" x14ac:dyDescent="0.25">
      <c r="A29" s="495" t="s">
        <v>56</v>
      </c>
      <c r="B29" s="111" t="s">
        <v>57</v>
      </c>
    </row>
    <row r="30" spans="1:5" ht="21" x14ac:dyDescent="0.25">
      <c r="A30" s="496"/>
      <c r="B30" s="113" t="s">
        <v>58</v>
      </c>
    </row>
    <row r="31" spans="1:5" ht="21" x14ac:dyDescent="0.25">
      <c r="A31" s="496"/>
      <c r="B31" s="113" t="s">
        <v>59</v>
      </c>
    </row>
    <row r="32" spans="1:5" ht="31.5" x14ac:dyDescent="0.25">
      <c r="A32" s="497"/>
      <c r="B32" s="115" t="s">
        <v>60</v>
      </c>
    </row>
    <row r="33" spans="1:5" x14ac:dyDescent="0.25">
      <c r="A33" s="474" t="s">
        <v>61</v>
      </c>
      <c r="B33" s="111" t="s">
        <v>62</v>
      </c>
    </row>
    <row r="34" spans="1:5" x14ac:dyDescent="0.25">
      <c r="A34" s="475"/>
      <c r="B34" s="121" t="s">
        <v>63</v>
      </c>
    </row>
    <row r="35" spans="1:5" x14ac:dyDescent="0.25">
      <c r="A35" s="475"/>
      <c r="B35" s="122" t="s">
        <v>64</v>
      </c>
    </row>
    <row r="36" spans="1:5" x14ac:dyDescent="0.25">
      <c r="A36" s="475"/>
      <c r="B36" s="122" t="s">
        <v>65</v>
      </c>
      <c r="C36">
        <v>1</v>
      </c>
    </row>
    <row r="37" spans="1:5" x14ac:dyDescent="0.25">
      <c r="A37" s="445"/>
      <c r="B37" s="115" t="s">
        <v>66</v>
      </c>
      <c r="C37">
        <v>3</v>
      </c>
    </row>
    <row r="38" spans="1:5" x14ac:dyDescent="0.25">
      <c r="A38" s="474" t="s">
        <v>67</v>
      </c>
      <c r="B38" s="124" t="s">
        <v>68</v>
      </c>
    </row>
    <row r="39" spans="1:5" x14ac:dyDescent="0.25">
      <c r="A39" s="475"/>
      <c r="B39" s="127" t="s">
        <v>69</v>
      </c>
    </row>
    <row r="40" spans="1:5" x14ac:dyDescent="0.25">
      <c r="A40" s="445"/>
      <c r="B40" s="130" t="s">
        <v>70</v>
      </c>
    </row>
    <row r="41" spans="1:5" x14ac:dyDescent="0.25">
      <c r="A41" s="499" t="s">
        <v>71</v>
      </c>
      <c r="B41" s="500"/>
    </row>
    <row r="42" spans="1:5" x14ac:dyDescent="0.25">
      <c r="A42" s="121" t="s">
        <v>72</v>
      </c>
      <c r="B42" s="120"/>
      <c r="C42">
        <v>4</v>
      </c>
    </row>
    <row r="43" spans="1:5" x14ac:dyDescent="0.25">
      <c r="A43" s="501" t="s">
        <v>73</v>
      </c>
      <c r="B43" s="501"/>
    </row>
    <row r="44" spans="1:5" x14ac:dyDescent="0.25">
      <c r="A44" s="501" t="s">
        <v>74</v>
      </c>
      <c r="B44" s="501"/>
    </row>
    <row r="45" spans="1:5" x14ac:dyDescent="0.25">
      <c r="A45" s="502" t="s">
        <v>75</v>
      </c>
      <c r="B45" s="502"/>
      <c r="C45">
        <v>2</v>
      </c>
      <c r="E45">
        <v>1</v>
      </c>
    </row>
    <row r="46" spans="1:5" x14ac:dyDescent="0.25">
      <c r="A46" s="503" t="s">
        <v>76</v>
      </c>
      <c r="B46" s="133" t="s">
        <v>77</v>
      </c>
    </row>
    <row r="47" spans="1:5" x14ac:dyDescent="0.25">
      <c r="A47" s="504"/>
      <c r="B47" s="141" t="s">
        <v>78</v>
      </c>
    </row>
    <row r="48" spans="1:5" x14ac:dyDescent="0.25">
      <c r="A48" s="504"/>
      <c r="B48" s="141" t="s">
        <v>79</v>
      </c>
    </row>
    <row r="49" spans="1:3" x14ac:dyDescent="0.25">
      <c r="A49" s="504"/>
      <c r="B49" s="141" t="s">
        <v>80</v>
      </c>
    </row>
    <row r="50" spans="1:3" ht="22.5" x14ac:dyDescent="0.25">
      <c r="A50" s="505"/>
      <c r="B50" s="142" t="s">
        <v>81</v>
      </c>
    </row>
    <row r="51" spans="1:3" x14ac:dyDescent="0.25">
      <c r="A51" s="143" t="s">
        <v>82</v>
      </c>
      <c r="B51" s="144"/>
    </row>
    <row r="52" spans="1:3" x14ac:dyDescent="0.25">
      <c r="A52" s="484" t="s">
        <v>83</v>
      </c>
      <c r="B52" s="498"/>
      <c r="C52">
        <v>4</v>
      </c>
    </row>
  </sheetData>
  <mergeCells count="21">
    <mergeCell ref="A46:A50"/>
    <mergeCell ref="A52:B52"/>
    <mergeCell ref="A33:A37"/>
    <mergeCell ref="A38:A40"/>
    <mergeCell ref="A41:B41"/>
    <mergeCell ref="A43:B43"/>
    <mergeCell ref="A44:B44"/>
    <mergeCell ref="A45:B45"/>
    <mergeCell ref="A29:A32"/>
    <mergeCell ref="A1:B3"/>
    <mergeCell ref="A12:B12"/>
    <mergeCell ref="A13:A14"/>
    <mergeCell ref="A15:B15"/>
    <mergeCell ref="A16:A20"/>
    <mergeCell ref="A24:A28"/>
    <mergeCell ref="A4:B4"/>
    <mergeCell ref="A5:B5"/>
    <mergeCell ref="A6:A7"/>
    <mergeCell ref="A8:A9"/>
    <mergeCell ref="A10:A11"/>
    <mergeCell ref="A21:B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AX54"/>
  <sheetViews>
    <sheetView workbookViewId="0">
      <selection activeCell="F4" sqref="F4"/>
    </sheetView>
  </sheetViews>
  <sheetFormatPr baseColWidth="10" defaultRowHeight="15" x14ac:dyDescent="0.25"/>
  <cols>
    <col min="2" max="2" width="33.140625" customWidth="1"/>
    <col min="6" max="6" width="13" customWidth="1"/>
    <col min="14" max="39" width="12.42578125" customWidth="1"/>
    <col min="41" max="41" width="29.42578125" customWidth="1"/>
    <col min="42" max="42" width="18.85546875" customWidth="1"/>
    <col min="43" max="43" width="12.42578125" customWidth="1"/>
    <col min="44" max="44" width="11.5703125" customWidth="1"/>
    <col min="45" max="45" width="12.42578125" customWidth="1"/>
    <col min="46" max="46" width="41" customWidth="1"/>
    <col min="47" max="47" width="43.85546875" customWidth="1"/>
    <col min="48" max="48" width="29.5703125" customWidth="1"/>
    <col min="50" max="50" width="12.42578125" customWidth="1"/>
  </cols>
  <sheetData>
    <row r="1" spans="1:50" ht="21" x14ac:dyDescent="0.25">
      <c r="A1" s="512" t="s">
        <v>122</v>
      </c>
      <c r="B1" s="513"/>
      <c r="C1" s="147" t="s">
        <v>1</v>
      </c>
      <c r="D1" s="147" t="s">
        <v>84</v>
      </c>
      <c r="E1" s="147" t="s">
        <v>85</v>
      </c>
      <c r="F1" s="147" t="s">
        <v>2</v>
      </c>
      <c r="G1" s="147" t="s">
        <v>86</v>
      </c>
      <c r="H1" s="147" t="s">
        <v>87</v>
      </c>
      <c r="I1" s="147" t="s">
        <v>88</v>
      </c>
      <c r="J1" s="147" t="s">
        <v>89</v>
      </c>
      <c r="K1" s="147" t="s">
        <v>90</v>
      </c>
      <c r="L1" s="147" t="s">
        <v>91</v>
      </c>
      <c r="M1" s="147" t="s">
        <v>92</v>
      </c>
      <c r="N1" s="147" t="s">
        <v>93</v>
      </c>
      <c r="O1" s="147" t="s">
        <v>94</v>
      </c>
      <c r="P1" s="147" t="s">
        <v>95</v>
      </c>
      <c r="Q1" s="147" t="s">
        <v>96</v>
      </c>
      <c r="R1" s="147" t="s">
        <v>97</v>
      </c>
      <c r="S1" s="147" t="s">
        <v>98</v>
      </c>
      <c r="T1" s="147" t="s">
        <v>99</v>
      </c>
      <c r="U1" s="147" t="s">
        <v>100</v>
      </c>
      <c r="V1" s="147" t="s">
        <v>101</v>
      </c>
      <c r="W1" s="147" t="s">
        <v>102</v>
      </c>
      <c r="X1" s="147" t="s">
        <v>103</v>
      </c>
      <c r="Y1" s="147" t="s">
        <v>104</v>
      </c>
      <c r="Z1" s="147" t="s">
        <v>105</v>
      </c>
      <c r="AA1" s="147" t="s">
        <v>106</v>
      </c>
      <c r="AB1" s="147" t="s">
        <v>107</v>
      </c>
      <c r="AC1" s="147" t="s">
        <v>108</v>
      </c>
      <c r="AD1" s="147" t="s">
        <v>109</v>
      </c>
      <c r="AE1" s="147" t="s">
        <v>110</v>
      </c>
      <c r="AF1" s="147" t="s">
        <v>111</v>
      </c>
      <c r="AG1" s="147" t="s">
        <v>112</v>
      </c>
      <c r="AH1" s="147" t="s">
        <v>113</v>
      </c>
      <c r="AI1" s="147" t="s">
        <v>114</v>
      </c>
      <c r="AJ1" s="147" t="s">
        <v>115</v>
      </c>
      <c r="AK1" s="147" t="s">
        <v>116</v>
      </c>
      <c r="AL1" s="147" t="s">
        <v>117</v>
      </c>
      <c r="AM1" s="17" t="s">
        <v>118</v>
      </c>
      <c r="AN1" s="10" t="s">
        <v>3</v>
      </c>
      <c r="AO1" s="11" t="s">
        <v>4</v>
      </c>
      <c r="AP1" s="148" t="s">
        <v>5</v>
      </c>
      <c r="AQ1" s="149" t="s">
        <v>119</v>
      </c>
      <c r="AR1" s="148" t="s">
        <v>6</v>
      </c>
      <c r="AS1" s="149" t="s">
        <v>120</v>
      </c>
      <c r="AT1" s="14" t="s">
        <v>7</v>
      </c>
      <c r="AU1" s="14" t="s">
        <v>8</v>
      </c>
      <c r="AV1" s="14" t="s">
        <v>9</v>
      </c>
      <c r="AW1" s="150" t="s">
        <v>10</v>
      </c>
      <c r="AX1" s="14" t="s">
        <v>121</v>
      </c>
    </row>
    <row r="2" spans="1:50" ht="21" x14ac:dyDescent="0.25">
      <c r="A2" s="514"/>
      <c r="B2" s="515"/>
      <c r="C2" s="1"/>
      <c r="D2" s="1"/>
      <c r="E2" s="1"/>
      <c r="F2" s="3" t="s">
        <v>11</v>
      </c>
      <c r="G2" s="2"/>
      <c r="H2" s="1" t="s">
        <v>12</v>
      </c>
      <c r="I2" s="2"/>
      <c r="J2" s="4" t="s">
        <v>13</v>
      </c>
      <c r="K2" s="5"/>
      <c r="L2" s="4" t="s">
        <v>14</v>
      </c>
      <c r="M2" s="5"/>
      <c r="N2" s="4" t="s">
        <v>15</v>
      </c>
      <c r="O2" s="5"/>
      <c r="P2" s="4" t="s">
        <v>16</v>
      </c>
      <c r="Q2" s="5"/>
      <c r="R2" s="4" t="s">
        <v>17</v>
      </c>
      <c r="S2" s="5"/>
      <c r="T2" s="4" t="s">
        <v>18</v>
      </c>
      <c r="U2" s="5"/>
      <c r="V2" s="4" t="s">
        <v>19</v>
      </c>
      <c r="W2" s="5"/>
      <c r="X2" s="4" t="s">
        <v>20</v>
      </c>
      <c r="Y2" s="5"/>
      <c r="Z2" s="4" t="s">
        <v>21</v>
      </c>
      <c r="AA2" s="5"/>
      <c r="AB2" s="4" t="s">
        <v>22</v>
      </c>
      <c r="AC2" s="5"/>
      <c r="AD2" s="4" t="s">
        <v>23</v>
      </c>
      <c r="AE2" s="5"/>
      <c r="AF2" s="6" t="s">
        <v>24</v>
      </c>
      <c r="AG2" s="7"/>
      <c r="AH2" s="6" t="s">
        <v>25</v>
      </c>
      <c r="AI2" s="7"/>
      <c r="AJ2" s="6" t="s">
        <v>26</v>
      </c>
      <c r="AK2" s="7"/>
      <c r="AL2" s="8" t="s">
        <v>27</v>
      </c>
      <c r="AM2" s="9"/>
      <c r="AN2" s="10"/>
      <c r="AO2" s="11"/>
      <c r="AP2" s="12"/>
      <c r="AQ2" s="13"/>
      <c r="AR2" s="12"/>
      <c r="AS2" s="13"/>
      <c r="AT2" s="14"/>
      <c r="AU2" s="14"/>
      <c r="AV2" s="14"/>
      <c r="AW2" s="15"/>
      <c r="AX2" s="16"/>
    </row>
    <row r="3" spans="1:50" ht="21" x14ac:dyDescent="0.25">
      <c r="A3" s="516"/>
      <c r="B3" s="517"/>
      <c r="C3" s="18" t="s">
        <v>28</v>
      </c>
      <c r="D3" s="19" t="s">
        <v>29</v>
      </c>
      <c r="E3" s="20" t="s">
        <v>30</v>
      </c>
      <c r="F3" s="21" t="s">
        <v>29</v>
      </c>
      <c r="G3" s="20" t="s">
        <v>30</v>
      </c>
      <c r="H3" s="21" t="s">
        <v>29</v>
      </c>
      <c r="I3" s="20" t="s">
        <v>30</v>
      </c>
      <c r="J3" s="21" t="s">
        <v>29</v>
      </c>
      <c r="K3" s="20" t="s">
        <v>30</v>
      </c>
      <c r="L3" s="21" t="s">
        <v>29</v>
      </c>
      <c r="M3" s="20" t="s">
        <v>30</v>
      </c>
      <c r="N3" s="21" t="s">
        <v>29</v>
      </c>
      <c r="O3" s="20" t="s">
        <v>30</v>
      </c>
      <c r="P3" s="21" t="s">
        <v>29</v>
      </c>
      <c r="Q3" s="20" t="s">
        <v>30</v>
      </c>
      <c r="R3" s="21" t="s">
        <v>29</v>
      </c>
      <c r="S3" s="20" t="s">
        <v>30</v>
      </c>
      <c r="T3" s="21" t="s">
        <v>29</v>
      </c>
      <c r="U3" s="20" t="s">
        <v>30</v>
      </c>
      <c r="V3" s="21" t="s">
        <v>29</v>
      </c>
      <c r="W3" s="20" t="s">
        <v>30</v>
      </c>
      <c r="X3" s="21" t="s">
        <v>29</v>
      </c>
      <c r="Y3" s="20" t="s">
        <v>30</v>
      </c>
      <c r="Z3" s="21" t="s">
        <v>29</v>
      </c>
      <c r="AA3" s="20" t="s">
        <v>30</v>
      </c>
      <c r="AB3" s="21" t="s">
        <v>29</v>
      </c>
      <c r="AC3" s="20" t="s">
        <v>30</v>
      </c>
      <c r="AD3" s="21" t="s">
        <v>29</v>
      </c>
      <c r="AE3" s="20" t="s">
        <v>30</v>
      </c>
      <c r="AF3" s="22" t="s">
        <v>31</v>
      </c>
      <c r="AG3" s="23" t="s">
        <v>30</v>
      </c>
      <c r="AH3" s="22" t="s">
        <v>31</v>
      </c>
      <c r="AI3" s="23" t="s">
        <v>30</v>
      </c>
      <c r="AJ3" s="22" t="s">
        <v>31</v>
      </c>
      <c r="AK3" s="23" t="s">
        <v>30</v>
      </c>
      <c r="AL3" s="24" t="s">
        <v>29</v>
      </c>
      <c r="AM3" s="25" t="s">
        <v>30</v>
      </c>
      <c r="AN3" s="26"/>
      <c r="AO3" s="27"/>
      <c r="AP3" s="19" t="s">
        <v>29</v>
      </c>
      <c r="AQ3" s="3" t="s">
        <v>30</v>
      </c>
      <c r="AR3" s="19" t="s">
        <v>29</v>
      </c>
      <c r="AS3" s="3" t="s">
        <v>30</v>
      </c>
      <c r="AT3" s="16"/>
      <c r="AU3" s="16"/>
      <c r="AV3" s="16"/>
      <c r="AW3" s="27" t="s">
        <v>32</v>
      </c>
      <c r="AX3" s="27" t="s">
        <v>33</v>
      </c>
    </row>
    <row r="4" spans="1:50" x14ac:dyDescent="0.25">
      <c r="A4" s="480" t="s">
        <v>34</v>
      </c>
      <c r="B4" s="481"/>
      <c r="C4" s="146">
        <f>+NUEVO!C4-ANTIGUO!C4</f>
        <v>-15</v>
      </c>
      <c r="D4" s="146">
        <f>+NUEVO!D4-ANTIGUO!D4</f>
        <v>-27</v>
      </c>
      <c r="E4" s="146">
        <f>+NUEVO!E4-ANTIGUO!E4</f>
        <v>12</v>
      </c>
      <c r="F4" s="146">
        <f>+NUEVO!F4-ANTIGUO!F4</f>
        <v>0</v>
      </c>
      <c r="G4" s="146">
        <f>+NUEVO!G4-ANTIGUO!G4</f>
        <v>0</v>
      </c>
      <c r="H4" s="146">
        <f>+NUEVO!H4-ANTIGUO!H4</f>
        <v>0</v>
      </c>
      <c r="I4" s="146">
        <f>+NUEVO!I4-ANTIGUO!I4</f>
        <v>-1</v>
      </c>
      <c r="J4" s="146">
        <f>+NUEVO!J4-ANTIGUO!J4</f>
        <v>-4</v>
      </c>
      <c r="K4" s="146">
        <f>+NUEVO!K4-ANTIGUO!K4</f>
        <v>-4</v>
      </c>
      <c r="L4" s="146">
        <f>+NUEVO!L4-ANTIGUO!L4</f>
        <v>-6</v>
      </c>
      <c r="M4" s="146">
        <f>+NUEVO!M4-ANTIGUO!M4</f>
        <v>11</v>
      </c>
      <c r="N4" s="146">
        <f>+NUEVO!N4-ANTIGUO!N4</f>
        <v>0</v>
      </c>
      <c r="O4" s="146">
        <f>+NUEVO!O4-ANTIGUO!O4</f>
        <v>-13</v>
      </c>
      <c r="P4" s="146">
        <f>+NUEVO!P4-ANTIGUO!P4</f>
        <v>-3</v>
      </c>
      <c r="Q4" s="146">
        <f>+NUEVO!Q4-ANTIGUO!Q4</f>
        <v>6</v>
      </c>
      <c r="R4" s="146">
        <f>+NUEVO!R4-ANTIGUO!R4</f>
        <v>-2</v>
      </c>
      <c r="S4" s="146">
        <f>+NUEVO!S4-ANTIGUO!S4</f>
        <v>-3</v>
      </c>
      <c r="T4" s="146">
        <f>+NUEVO!T4-ANTIGUO!T4</f>
        <v>-3</v>
      </c>
      <c r="U4" s="146">
        <f>+NUEVO!U4-ANTIGUO!U4</f>
        <v>5</v>
      </c>
      <c r="V4" s="146">
        <f>+NUEVO!V4-ANTIGUO!V4</f>
        <v>-1</v>
      </c>
      <c r="W4" s="146">
        <f>+NUEVO!W4-ANTIGUO!W4</f>
        <v>-9</v>
      </c>
      <c r="X4" s="146">
        <f>+NUEVO!X4-ANTIGUO!X4</f>
        <v>-4</v>
      </c>
      <c r="Y4" s="146">
        <f>+NUEVO!Y4-ANTIGUO!Y4</f>
        <v>9</v>
      </c>
      <c r="Z4" s="146">
        <f>+NUEVO!Z4-ANTIGUO!Z4</f>
        <v>-6</v>
      </c>
      <c r="AA4" s="146">
        <f>+NUEVO!AA4-ANTIGUO!AA4</f>
        <v>0</v>
      </c>
      <c r="AB4" s="146">
        <f>+NUEVO!AB4-ANTIGUO!AB4</f>
        <v>3</v>
      </c>
      <c r="AC4" s="146">
        <f>+NUEVO!AC4-ANTIGUO!AC4</f>
        <v>-7</v>
      </c>
      <c r="AD4" s="146">
        <f>+NUEVO!AD4-ANTIGUO!AD4</f>
        <v>-14</v>
      </c>
      <c r="AE4" s="146">
        <f>+NUEVO!AE4-ANTIGUO!AE4</f>
        <v>11</v>
      </c>
      <c r="AF4" s="146">
        <f>+NUEVO!AF4-ANTIGUO!AF4</f>
        <v>0</v>
      </c>
      <c r="AG4" s="146">
        <f>+NUEVO!AG4-ANTIGUO!AG4</f>
        <v>4</v>
      </c>
      <c r="AH4" s="146">
        <f>+NUEVO!AH4-ANTIGUO!AH4</f>
        <v>7</v>
      </c>
      <c r="AI4" s="146">
        <f>+NUEVO!AI4-ANTIGUO!AI4</f>
        <v>-1</v>
      </c>
      <c r="AJ4" s="146">
        <f>+NUEVO!AJ4-ANTIGUO!AJ4</f>
        <v>1</v>
      </c>
      <c r="AK4" s="146">
        <f>+NUEVO!AK4-ANTIGUO!AK4</f>
        <v>6</v>
      </c>
      <c r="AL4" s="146">
        <f>+NUEVO!AL4-ANTIGUO!AL4</f>
        <v>5</v>
      </c>
      <c r="AM4" s="146">
        <f>+NUEVO!AM4-ANTIGUO!AM4</f>
        <v>-2</v>
      </c>
      <c r="AN4" s="146">
        <f>+NUEVO!AN4-ANTIGUO!AN4</f>
        <v>0</v>
      </c>
      <c r="AO4" s="146">
        <f>+NUEVO!AO4-ANTIGUO!AO4</f>
        <v>28</v>
      </c>
      <c r="AP4" s="146">
        <f>+NUEVO!AP4-ANTIGUO!AP4</f>
        <v>-8</v>
      </c>
      <c r="AQ4" s="146">
        <f>+NUEVO!AQ4-ANTIGUO!AQ4</f>
        <v>1</v>
      </c>
      <c r="AR4" s="146">
        <f>+NUEVO!AR4-ANTIGUO!AR4</f>
        <v>-2</v>
      </c>
      <c r="AS4" s="146">
        <f>+NUEVO!AS4-ANTIGUO!AS4</f>
        <v>-4</v>
      </c>
      <c r="AT4" s="146">
        <f>+NUEVO!AT4-ANTIGUO!AT4</f>
        <v>-2</v>
      </c>
      <c r="AU4" s="146">
        <f>+NUEVO!AU4-ANTIGUO!AU4</f>
        <v>-6</v>
      </c>
      <c r="AV4" s="146">
        <f>+NUEVO!AV4-ANTIGUO!AV4</f>
        <v>-48</v>
      </c>
      <c r="AW4" s="146">
        <f>+NUEVO!AW4-ANTIGUO!AW4</f>
        <v>-1</v>
      </c>
      <c r="AX4" s="146">
        <f>+NUEVO!AX4-ANTIGUO!AX4</f>
        <v>-3</v>
      </c>
    </row>
    <row r="5" spans="1:50" x14ac:dyDescent="0.25">
      <c r="A5" s="480" t="s">
        <v>35</v>
      </c>
      <c r="B5" s="482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  <c r="AK5" s="146"/>
      <c r="AL5" s="146"/>
      <c r="AM5" s="146"/>
      <c r="AN5" s="146"/>
      <c r="AO5" s="146"/>
      <c r="AP5" s="146"/>
      <c r="AQ5" s="146"/>
      <c r="AR5" s="146"/>
      <c r="AS5" s="146"/>
      <c r="AT5" s="146"/>
      <c r="AU5" s="146"/>
      <c r="AV5" s="146"/>
      <c r="AW5" s="146"/>
      <c r="AX5" s="146"/>
    </row>
    <row r="6" spans="1:50" x14ac:dyDescent="0.25">
      <c r="A6" s="483" t="s">
        <v>36</v>
      </c>
      <c r="B6" s="37" t="s">
        <v>37</v>
      </c>
      <c r="C6" s="146">
        <f>+NUEVO!C6-ANTIGUO!C6</f>
        <v>0</v>
      </c>
      <c r="D6" s="146">
        <f>+NUEVO!D6-ANTIGUO!D6</f>
        <v>0</v>
      </c>
      <c r="E6" s="146">
        <f>+NUEVO!E6-ANTIGUO!E6</f>
        <v>0</v>
      </c>
      <c r="F6" s="146">
        <f>+NUEVO!F6-ANTIGUO!F6</f>
        <v>0</v>
      </c>
      <c r="G6" s="146">
        <f>+NUEVO!G6-ANTIGUO!G6</f>
        <v>0</v>
      </c>
      <c r="H6" s="146">
        <f>+NUEVO!H6-ANTIGUO!H6</f>
        <v>0</v>
      </c>
      <c r="I6" s="146">
        <f>+NUEVO!I6-ANTIGUO!I6</f>
        <v>0</v>
      </c>
      <c r="J6" s="146">
        <f>+NUEVO!J6-ANTIGUO!J6</f>
        <v>0</v>
      </c>
      <c r="K6" s="146">
        <f>+NUEVO!K6-ANTIGUO!K6</f>
        <v>0</v>
      </c>
      <c r="L6" s="146">
        <f>+NUEVO!L6-ANTIGUO!L6</f>
        <v>0</v>
      </c>
      <c r="M6" s="146">
        <f>+NUEVO!M6-ANTIGUO!M6</f>
        <v>0</v>
      </c>
      <c r="N6" s="146">
        <f>+NUEVO!N6-ANTIGUO!N6</f>
        <v>0</v>
      </c>
      <c r="O6" s="146">
        <f>+NUEVO!O6-ANTIGUO!O6</f>
        <v>0</v>
      </c>
      <c r="P6" s="146">
        <f>+NUEVO!P6-ANTIGUO!P6</f>
        <v>0</v>
      </c>
      <c r="Q6" s="146">
        <f>+NUEVO!Q6-ANTIGUO!Q6</f>
        <v>0</v>
      </c>
      <c r="R6" s="146">
        <f>+NUEVO!R6-ANTIGUO!R6</f>
        <v>0</v>
      </c>
      <c r="S6" s="146">
        <f>+NUEVO!S6-ANTIGUO!S6</f>
        <v>0</v>
      </c>
      <c r="T6" s="146">
        <f>+NUEVO!T6-ANTIGUO!T6</f>
        <v>0</v>
      </c>
      <c r="U6" s="146">
        <f>+NUEVO!U6-ANTIGUO!U6</f>
        <v>0</v>
      </c>
      <c r="V6" s="146">
        <f>+NUEVO!V6-ANTIGUO!V6</f>
        <v>0</v>
      </c>
      <c r="W6" s="146">
        <f>+NUEVO!W6-ANTIGUO!W6</f>
        <v>0</v>
      </c>
      <c r="X6" s="146">
        <f>+NUEVO!X6-ANTIGUO!X6</f>
        <v>0</v>
      </c>
      <c r="Y6" s="146">
        <f>+NUEVO!Y6-ANTIGUO!Y6</f>
        <v>0</v>
      </c>
      <c r="Z6" s="146">
        <f>+NUEVO!Z6-ANTIGUO!Z6</f>
        <v>0</v>
      </c>
      <c r="AA6" s="146">
        <f>+NUEVO!AA6-ANTIGUO!AA6</f>
        <v>0</v>
      </c>
      <c r="AB6" s="146">
        <f>+NUEVO!AB6-ANTIGUO!AB6</f>
        <v>0</v>
      </c>
      <c r="AC6" s="146">
        <f>+NUEVO!AC6-ANTIGUO!AC6</f>
        <v>0</v>
      </c>
      <c r="AD6" s="146">
        <f>+NUEVO!AD6-ANTIGUO!AD6</f>
        <v>0</v>
      </c>
      <c r="AE6" s="146">
        <f>+NUEVO!AE6-ANTIGUO!AE6</f>
        <v>0</v>
      </c>
      <c r="AF6" s="146">
        <f>+NUEVO!AF6-ANTIGUO!AF6</f>
        <v>0</v>
      </c>
      <c r="AG6" s="146">
        <f>+NUEVO!AG6-ANTIGUO!AG6</f>
        <v>0</v>
      </c>
      <c r="AH6" s="146">
        <f>+NUEVO!AH6-ANTIGUO!AH6</f>
        <v>0</v>
      </c>
      <c r="AI6" s="146">
        <f>+NUEVO!AI6-ANTIGUO!AI6</f>
        <v>0</v>
      </c>
      <c r="AJ6" s="146">
        <f>+NUEVO!AJ6-ANTIGUO!AJ6</f>
        <v>0</v>
      </c>
      <c r="AK6" s="146">
        <f>+NUEVO!AK6-ANTIGUO!AK6</f>
        <v>0</v>
      </c>
      <c r="AL6" s="146">
        <f>+NUEVO!AL6-ANTIGUO!AL6</f>
        <v>0</v>
      </c>
      <c r="AM6" s="146">
        <f>+NUEVO!AM6-ANTIGUO!AM6</f>
        <v>0</v>
      </c>
      <c r="AN6" s="146">
        <f>+NUEVO!AN6-ANTIGUO!AN6</f>
        <v>0</v>
      </c>
      <c r="AO6" s="146">
        <f>+NUEVO!AO6-ANTIGUO!AO6</f>
        <v>0</v>
      </c>
      <c r="AP6" s="146">
        <f>+NUEVO!AP6-ANTIGUO!AP6</f>
        <v>0</v>
      </c>
      <c r="AQ6" s="146">
        <f>+NUEVO!AQ6-ANTIGUO!AQ6</f>
        <v>0</v>
      </c>
      <c r="AR6" s="146">
        <f>+NUEVO!AR6-ANTIGUO!AR6</f>
        <v>0</v>
      </c>
      <c r="AS6" s="146">
        <f>+NUEVO!AS6-ANTIGUO!AS6</f>
        <v>0</v>
      </c>
      <c r="AT6" s="146">
        <f>+NUEVO!AT6-ANTIGUO!AT6</f>
        <v>0</v>
      </c>
      <c r="AU6" s="146">
        <f>+NUEVO!AU6-ANTIGUO!AU6</f>
        <v>0</v>
      </c>
      <c r="AV6" s="146">
        <f>+NUEVO!AV6-ANTIGUO!AV6</f>
        <v>0</v>
      </c>
      <c r="AW6" s="146">
        <f>+NUEVO!AW6-ANTIGUO!AW6</f>
        <v>0</v>
      </c>
      <c r="AX6" s="146">
        <f>+NUEVO!AX6-ANTIGUO!AX6</f>
        <v>0</v>
      </c>
    </row>
    <row r="7" spans="1:50" x14ac:dyDescent="0.25">
      <c r="A7" s="484"/>
      <c r="B7" s="47" t="s">
        <v>38</v>
      </c>
      <c r="C7" s="146">
        <f>+NUEVO!C7-ANTIGUO!C7</f>
        <v>0</v>
      </c>
      <c r="D7" s="146">
        <f>+NUEVO!D7-ANTIGUO!D7</f>
        <v>0</v>
      </c>
      <c r="E7" s="146">
        <f>+NUEVO!E7-ANTIGUO!E7</f>
        <v>0</v>
      </c>
      <c r="F7" s="146">
        <f>+NUEVO!F7-ANTIGUO!F7</f>
        <v>0</v>
      </c>
      <c r="G7" s="146">
        <f>+NUEVO!G7-ANTIGUO!G7</f>
        <v>0</v>
      </c>
      <c r="H7" s="146">
        <f>+NUEVO!H7-ANTIGUO!H7</f>
        <v>0</v>
      </c>
      <c r="I7" s="146">
        <f>+NUEVO!I7-ANTIGUO!I7</f>
        <v>0</v>
      </c>
      <c r="J7" s="146">
        <f>+NUEVO!J7-ANTIGUO!J7</f>
        <v>0</v>
      </c>
      <c r="K7" s="146">
        <f>+NUEVO!K7-ANTIGUO!K7</f>
        <v>0</v>
      </c>
      <c r="L7" s="146">
        <f>+NUEVO!L7-ANTIGUO!L7</f>
        <v>0</v>
      </c>
      <c r="M7" s="146">
        <f>+NUEVO!M7-ANTIGUO!M7</f>
        <v>0</v>
      </c>
      <c r="N7" s="146">
        <f>+NUEVO!N7-ANTIGUO!N7</f>
        <v>0</v>
      </c>
      <c r="O7" s="146">
        <f>+NUEVO!O7-ANTIGUO!O7</f>
        <v>0</v>
      </c>
      <c r="P7" s="146">
        <f>+NUEVO!P7-ANTIGUO!P7</f>
        <v>0</v>
      </c>
      <c r="Q7" s="146">
        <f>+NUEVO!Q7-ANTIGUO!Q7</f>
        <v>0</v>
      </c>
      <c r="R7" s="146">
        <f>+NUEVO!R7-ANTIGUO!R7</f>
        <v>0</v>
      </c>
      <c r="S7" s="146">
        <f>+NUEVO!S7-ANTIGUO!S7</f>
        <v>0</v>
      </c>
      <c r="T7" s="146">
        <f>+NUEVO!T7-ANTIGUO!T7</f>
        <v>0</v>
      </c>
      <c r="U7" s="146">
        <f>+NUEVO!U7-ANTIGUO!U7</f>
        <v>0</v>
      </c>
      <c r="V7" s="146">
        <f>+NUEVO!V7-ANTIGUO!V7</f>
        <v>0</v>
      </c>
      <c r="W7" s="146">
        <f>+NUEVO!W7-ANTIGUO!W7</f>
        <v>0</v>
      </c>
      <c r="X7" s="146">
        <f>+NUEVO!X7-ANTIGUO!X7</f>
        <v>0</v>
      </c>
      <c r="Y7" s="146">
        <f>+NUEVO!Y7-ANTIGUO!Y7</f>
        <v>0</v>
      </c>
      <c r="Z7" s="146">
        <f>+NUEVO!Z7-ANTIGUO!Z7</f>
        <v>0</v>
      </c>
      <c r="AA7" s="146">
        <f>+NUEVO!AA7-ANTIGUO!AA7</f>
        <v>0</v>
      </c>
      <c r="AB7" s="146">
        <f>+NUEVO!AB7-ANTIGUO!AB7</f>
        <v>0</v>
      </c>
      <c r="AC7" s="146">
        <f>+NUEVO!AC7-ANTIGUO!AC7</f>
        <v>0</v>
      </c>
      <c r="AD7" s="146">
        <f>+NUEVO!AD7-ANTIGUO!AD7</f>
        <v>0</v>
      </c>
      <c r="AE7" s="146">
        <f>+NUEVO!AE7-ANTIGUO!AE7</f>
        <v>0</v>
      </c>
      <c r="AF7" s="146">
        <f>+NUEVO!AF7-ANTIGUO!AF7</f>
        <v>0</v>
      </c>
      <c r="AG7" s="146">
        <f>+NUEVO!AG7-ANTIGUO!AG7</f>
        <v>0</v>
      </c>
      <c r="AH7" s="146">
        <f>+NUEVO!AH7-ANTIGUO!AH7</f>
        <v>0</v>
      </c>
      <c r="AI7" s="146">
        <f>+NUEVO!AI7-ANTIGUO!AI7</f>
        <v>0</v>
      </c>
      <c r="AJ7" s="146">
        <f>+NUEVO!AJ7-ANTIGUO!AJ7</f>
        <v>0</v>
      </c>
      <c r="AK7" s="146">
        <f>+NUEVO!AK7-ANTIGUO!AK7</f>
        <v>0</v>
      </c>
      <c r="AL7" s="146">
        <f>+NUEVO!AL7-ANTIGUO!AL7</f>
        <v>0</v>
      </c>
      <c r="AM7" s="146">
        <f>+NUEVO!AM7-ANTIGUO!AM7</f>
        <v>0</v>
      </c>
      <c r="AN7" s="146">
        <f>+NUEVO!AN7-ANTIGUO!AN7</f>
        <v>0</v>
      </c>
      <c r="AO7" s="146">
        <f>+NUEVO!AO7-ANTIGUO!AO7</f>
        <v>0</v>
      </c>
      <c r="AP7" s="146">
        <f>+NUEVO!AP7-ANTIGUO!AP7</f>
        <v>0</v>
      </c>
      <c r="AQ7" s="146">
        <f>+NUEVO!AQ7-ANTIGUO!AQ7</f>
        <v>0</v>
      </c>
      <c r="AR7" s="146">
        <f>+NUEVO!AR7-ANTIGUO!AR7</f>
        <v>0</v>
      </c>
      <c r="AS7" s="146">
        <f>+NUEVO!AS7-ANTIGUO!AS7</f>
        <v>0</v>
      </c>
      <c r="AT7" s="146">
        <f>+NUEVO!AT7-ANTIGUO!AT7</f>
        <v>0</v>
      </c>
      <c r="AU7" s="146">
        <f>+NUEVO!AU7-ANTIGUO!AU7</f>
        <v>0</v>
      </c>
      <c r="AV7" s="146">
        <f>+NUEVO!AV7-ANTIGUO!AV7</f>
        <v>0</v>
      </c>
      <c r="AW7" s="146">
        <f>+NUEVO!AW7-ANTIGUO!AW7</f>
        <v>0</v>
      </c>
      <c r="AX7" s="146">
        <f>+NUEVO!AX7-ANTIGUO!AX7</f>
        <v>0</v>
      </c>
    </row>
    <row r="8" spans="1:50" x14ac:dyDescent="0.25">
      <c r="A8" s="303"/>
      <c r="B8" s="301"/>
      <c r="C8" s="146">
        <f>+NUEVO!C8-ANTIGUO!C8</f>
        <v>0</v>
      </c>
      <c r="D8" s="146">
        <f>+NUEVO!D8-ANTIGUO!D8</f>
        <v>0</v>
      </c>
      <c r="E8" s="146">
        <f>+NUEVO!E8-ANTIGUO!E8</f>
        <v>0</v>
      </c>
      <c r="F8" s="146">
        <f>+NUEVO!F8-ANTIGUO!F8</f>
        <v>0</v>
      </c>
      <c r="G8" s="146">
        <f>+NUEVO!G8-ANTIGUO!G8</f>
        <v>0</v>
      </c>
      <c r="H8" s="146">
        <f>+NUEVO!H8-ANTIGUO!H8</f>
        <v>0</v>
      </c>
      <c r="I8" s="146">
        <f>+NUEVO!I8-ANTIGUO!I8</f>
        <v>0</v>
      </c>
      <c r="J8" s="146">
        <f>+NUEVO!J8-ANTIGUO!J8</f>
        <v>0</v>
      </c>
      <c r="K8" s="146">
        <f>+NUEVO!K8-ANTIGUO!K8</f>
        <v>0</v>
      </c>
      <c r="L8" s="146">
        <f>+NUEVO!L8-ANTIGUO!L8</f>
        <v>0</v>
      </c>
      <c r="M8" s="146">
        <f>+NUEVO!M8-ANTIGUO!M8</f>
        <v>0</v>
      </c>
      <c r="N8" s="146">
        <f>+NUEVO!N8-ANTIGUO!N8</f>
        <v>0</v>
      </c>
      <c r="O8" s="146">
        <f>+NUEVO!O8-ANTIGUO!O8</f>
        <v>0</v>
      </c>
      <c r="P8" s="146">
        <f>+NUEVO!P8-ANTIGUO!P8</f>
        <v>0</v>
      </c>
      <c r="Q8" s="146">
        <f>+NUEVO!Q8-ANTIGUO!Q8</f>
        <v>0</v>
      </c>
      <c r="R8" s="146">
        <f>+NUEVO!R8-ANTIGUO!R8</f>
        <v>0</v>
      </c>
      <c r="S8" s="146">
        <f>+NUEVO!S8-ANTIGUO!S8</f>
        <v>0</v>
      </c>
      <c r="T8" s="146">
        <f>+NUEVO!T8-ANTIGUO!T8</f>
        <v>0</v>
      </c>
      <c r="U8" s="146">
        <f>+NUEVO!U8-ANTIGUO!U8</f>
        <v>0</v>
      </c>
      <c r="V8" s="146">
        <f>+NUEVO!V8-ANTIGUO!V8</f>
        <v>0</v>
      </c>
      <c r="W8" s="146">
        <f>+NUEVO!W8-ANTIGUO!W8</f>
        <v>0</v>
      </c>
      <c r="X8" s="146">
        <f>+NUEVO!X8-ANTIGUO!X8</f>
        <v>0</v>
      </c>
      <c r="Y8" s="146">
        <f>+NUEVO!Y8-ANTIGUO!Y8</f>
        <v>0</v>
      </c>
      <c r="Z8" s="146">
        <f>+NUEVO!Z8-ANTIGUO!Z8</f>
        <v>0</v>
      </c>
      <c r="AA8" s="146">
        <f>+NUEVO!AA8-ANTIGUO!AA8</f>
        <v>0</v>
      </c>
      <c r="AB8" s="146">
        <f>+NUEVO!AB8-ANTIGUO!AB8</f>
        <v>0</v>
      </c>
      <c r="AC8" s="146">
        <f>+NUEVO!AC8-ANTIGUO!AC8</f>
        <v>0</v>
      </c>
      <c r="AD8" s="146">
        <f>+NUEVO!AD8-ANTIGUO!AD8</f>
        <v>0</v>
      </c>
      <c r="AE8" s="146">
        <f>+NUEVO!AE8-ANTIGUO!AE8</f>
        <v>0</v>
      </c>
      <c r="AF8" s="146">
        <f>+NUEVO!AF8-ANTIGUO!AF8</f>
        <v>0</v>
      </c>
      <c r="AG8" s="146">
        <f>+NUEVO!AG8-ANTIGUO!AG8</f>
        <v>0</v>
      </c>
      <c r="AH8" s="146">
        <f>+NUEVO!AH8-ANTIGUO!AH8</f>
        <v>0</v>
      </c>
      <c r="AI8" s="146">
        <f>+NUEVO!AI8-ANTIGUO!AI8</f>
        <v>0</v>
      </c>
      <c r="AJ8" s="146">
        <f>+NUEVO!AJ8-ANTIGUO!AJ8</f>
        <v>0</v>
      </c>
      <c r="AK8" s="146">
        <f>+NUEVO!AK8-ANTIGUO!AK8</f>
        <v>0</v>
      </c>
      <c r="AL8" s="146">
        <f>+NUEVO!AL8-ANTIGUO!AL8</f>
        <v>0</v>
      </c>
      <c r="AM8" s="146">
        <f>+NUEVO!AM8-ANTIGUO!AM8</f>
        <v>0</v>
      </c>
      <c r="AN8" s="146">
        <f>+NUEVO!AN8-ANTIGUO!AN8</f>
        <v>0</v>
      </c>
      <c r="AO8" s="146">
        <f>+NUEVO!AO8-ANTIGUO!AO8</f>
        <v>0</v>
      </c>
      <c r="AP8" s="146">
        <f>+NUEVO!AP8-ANTIGUO!AP8</f>
        <v>0</v>
      </c>
      <c r="AQ8" s="146">
        <f>+NUEVO!AQ8-ANTIGUO!AQ8</f>
        <v>1</v>
      </c>
      <c r="AR8" s="146">
        <f>+NUEVO!AR8-ANTIGUO!AR8</f>
        <v>0</v>
      </c>
      <c r="AS8" s="146">
        <f>+NUEVO!AS8-ANTIGUO!AS8</f>
        <v>-1</v>
      </c>
      <c r="AT8" s="146">
        <f>+NUEVO!AT8-ANTIGUO!AT8</f>
        <v>0</v>
      </c>
      <c r="AU8" s="146">
        <f>+NUEVO!AU8-ANTIGUO!AU8</f>
        <v>0</v>
      </c>
      <c r="AV8" s="146">
        <f>+NUEVO!AV8-ANTIGUO!AV8</f>
        <v>5</v>
      </c>
      <c r="AW8" s="146">
        <f>+NUEVO!AW8-ANTIGUO!AW8</f>
        <v>0</v>
      </c>
      <c r="AX8" s="146">
        <f>+NUEVO!AX8-ANTIGUO!AX8</f>
        <v>0</v>
      </c>
    </row>
    <row r="9" spans="1:50" x14ac:dyDescent="0.25">
      <c r="A9" s="303"/>
      <c r="B9" s="301"/>
      <c r="C9" s="146">
        <f>+NUEVO!C9-ANTIGUO!C9</f>
        <v>0</v>
      </c>
      <c r="D9" s="146">
        <f>+NUEVO!D9-ANTIGUO!D9</f>
        <v>0</v>
      </c>
      <c r="E9" s="146">
        <f>+NUEVO!E9-ANTIGUO!E9</f>
        <v>0</v>
      </c>
      <c r="F9" s="146">
        <f>+NUEVO!F9-ANTIGUO!F9</f>
        <v>0</v>
      </c>
      <c r="G9" s="146">
        <f>+NUEVO!G9-ANTIGUO!G9</f>
        <v>0</v>
      </c>
      <c r="H9" s="146">
        <f>+NUEVO!H9-ANTIGUO!H9</f>
        <v>0</v>
      </c>
      <c r="I9" s="146">
        <f>+NUEVO!I9-ANTIGUO!I9</f>
        <v>0</v>
      </c>
      <c r="J9" s="146">
        <f>+NUEVO!J9-ANTIGUO!J9</f>
        <v>0</v>
      </c>
      <c r="K9" s="146">
        <f>+NUEVO!K9-ANTIGUO!K9</f>
        <v>0</v>
      </c>
      <c r="L9" s="146">
        <f>+NUEVO!L9-ANTIGUO!L9</f>
        <v>0</v>
      </c>
      <c r="M9" s="146">
        <f>+NUEVO!M9-ANTIGUO!M9</f>
        <v>0</v>
      </c>
      <c r="N9" s="146">
        <f>+NUEVO!N9-ANTIGUO!N9</f>
        <v>0</v>
      </c>
      <c r="O9" s="146">
        <f>+NUEVO!O9-ANTIGUO!O9</f>
        <v>0</v>
      </c>
      <c r="P9" s="146">
        <f>+NUEVO!P9-ANTIGUO!P9</f>
        <v>0</v>
      </c>
      <c r="Q9" s="146">
        <f>+NUEVO!Q9-ANTIGUO!Q9</f>
        <v>0</v>
      </c>
      <c r="R9" s="146">
        <f>+NUEVO!R9-ANTIGUO!R9</f>
        <v>0</v>
      </c>
      <c r="S9" s="146">
        <f>+NUEVO!S9-ANTIGUO!S9</f>
        <v>0</v>
      </c>
      <c r="T9" s="146">
        <f>+NUEVO!T9-ANTIGUO!T9</f>
        <v>0</v>
      </c>
      <c r="U9" s="146">
        <f>+NUEVO!U9-ANTIGUO!U9</f>
        <v>0</v>
      </c>
      <c r="V9" s="146">
        <f>+NUEVO!V9-ANTIGUO!V9</f>
        <v>0</v>
      </c>
      <c r="W9" s="146">
        <f>+NUEVO!W9-ANTIGUO!W9</f>
        <v>0</v>
      </c>
      <c r="X9" s="146">
        <f>+NUEVO!X9-ANTIGUO!X9</f>
        <v>0</v>
      </c>
      <c r="Y9" s="146">
        <f>+NUEVO!Y9-ANTIGUO!Y9</f>
        <v>0</v>
      </c>
      <c r="Z9" s="146">
        <f>+NUEVO!Z9-ANTIGUO!Z9</f>
        <v>0</v>
      </c>
      <c r="AA9" s="146">
        <f>+NUEVO!AA9-ANTIGUO!AA9</f>
        <v>0</v>
      </c>
      <c r="AB9" s="146">
        <f>+NUEVO!AB9-ANTIGUO!AB9</f>
        <v>0</v>
      </c>
      <c r="AC9" s="146">
        <f>+NUEVO!AC9-ANTIGUO!AC9</f>
        <v>0</v>
      </c>
      <c r="AD9" s="146">
        <f>+NUEVO!AD9-ANTIGUO!AD9</f>
        <v>0</v>
      </c>
      <c r="AE9" s="146">
        <f>+NUEVO!AE9-ANTIGUO!AE9</f>
        <v>0</v>
      </c>
      <c r="AF9" s="146">
        <f>+NUEVO!AF9-ANTIGUO!AF9</f>
        <v>0</v>
      </c>
      <c r="AG9" s="146">
        <f>+NUEVO!AG9-ANTIGUO!AG9</f>
        <v>0</v>
      </c>
      <c r="AH9" s="146">
        <f>+NUEVO!AH9-ANTIGUO!AH9</f>
        <v>0</v>
      </c>
      <c r="AI9" s="146">
        <f>+NUEVO!AI9-ANTIGUO!AI9</f>
        <v>0</v>
      </c>
      <c r="AJ9" s="146">
        <f>+NUEVO!AJ9-ANTIGUO!AJ9</f>
        <v>0</v>
      </c>
      <c r="AK9" s="146">
        <f>+NUEVO!AK9-ANTIGUO!AK9</f>
        <v>0</v>
      </c>
      <c r="AL9" s="146">
        <f>+NUEVO!AL9-ANTIGUO!AL9</f>
        <v>0</v>
      </c>
      <c r="AM9" s="146">
        <f>+NUEVO!AM9-ANTIGUO!AM9</f>
        <v>0</v>
      </c>
      <c r="AN9" s="146">
        <f>+NUEVO!AN9-ANTIGUO!AN9</f>
        <v>0</v>
      </c>
      <c r="AO9" s="146">
        <f>+NUEVO!AO9-ANTIGUO!AO9</f>
        <v>0</v>
      </c>
      <c r="AP9" s="146">
        <f>+NUEVO!AP9-ANTIGUO!AP9</f>
        <v>0</v>
      </c>
      <c r="AQ9" s="146">
        <f>+NUEVO!AQ9-ANTIGUO!AQ9</f>
        <v>0</v>
      </c>
      <c r="AR9" s="146">
        <f>+NUEVO!AR9-ANTIGUO!AR9</f>
        <v>0</v>
      </c>
      <c r="AS9" s="146">
        <f>+NUEVO!AS9-ANTIGUO!AS9</f>
        <v>0</v>
      </c>
      <c r="AT9" s="146">
        <f>+NUEVO!AT9-ANTIGUO!AT9</f>
        <v>0</v>
      </c>
      <c r="AU9" s="146">
        <f>+NUEVO!AU9-ANTIGUO!AU9</f>
        <v>0</v>
      </c>
      <c r="AV9" s="146">
        <f>+NUEVO!AV9-ANTIGUO!AV9</f>
        <v>0</v>
      </c>
      <c r="AW9" s="146">
        <f>+NUEVO!AW9-ANTIGUO!AW9</f>
        <v>0</v>
      </c>
      <c r="AX9" s="146">
        <f>+NUEVO!AX9-ANTIGUO!AX9</f>
        <v>0</v>
      </c>
    </row>
    <row r="10" spans="1:50" x14ac:dyDescent="0.25">
      <c r="A10" s="303"/>
      <c r="B10" s="301"/>
      <c r="C10" s="146">
        <f>+NUEVO!C10-ANTIGUO!C10</f>
        <v>0</v>
      </c>
      <c r="D10" s="146">
        <f>+NUEVO!D10-ANTIGUO!D10</f>
        <v>0</v>
      </c>
      <c r="E10" s="146">
        <f>+NUEVO!E10-ANTIGUO!E10</f>
        <v>0</v>
      </c>
      <c r="F10" s="146">
        <f>+NUEVO!F10-ANTIGUO!F10</f>
        <v>0</v>
      </c>
      <c r="G10" s="146">
        <f>+NUEVO!G10-ANTIGUO!G10</f>
        <v>0</v>
      </c>
      <c r="H10" s="146">
        <f>+NUEVO!H10-ANTIGUO!H10</f>
        <v>0</v>
      </c>
      <c r="I10" s="146">
        <f>+NUEVO!I10-ANTIGUO!I10</f>
        <v>0</v>
      </c>
      <c r="J10" s="146">
        <f>+NUEVO!J10-ANTIGUO!J10</f>
        <v>0</v>
      </c>
      <c r="K10" s="146">
        <f>+NUEVO!K10-ANTIGUO!K10</f>
        <v>0</v>
      </c>
      <c r="L10" s="146">
        <f>+NUEVO!L10-ANTIGUO!L10</f>
        <v>0</v>
      </c>
      <c r="M10" s="146">
        <f>+NUEVO!M10-ANTIGUO!M10</f>
        <v>0</v>
      </c>
      <c r="N10" s="146">
        <f>+NUEVO!N10-ANTIGUO!N10</f>
        <v>0</v>
      </c>
      <c r="O10" s="146">
        <f>+NUEVO!O10-ANTIGUO!O10</f>
        <v>0</v>
      </c>
      <c r="P10" s="146">
        <f>+NUEVO!P10-ANTIGUO!P10</f>
        <v>0</v>
      </c>
      <c r="Q10" s="146">
        <f>+NUEVO!Q10-ANTIGUO!Q10</f>
        <v>0</v>
      </c>
      <c r="R10" s="146">
        <f>+NUEVO!R10-ANTIGUO!R10</f>
        <v>0</v>
      </c>
      <c r="S10" s="146">
        <f>+NUEVO!S10-ANTIGUO!S10</f>
        <v>0</v>
      </c>
      <c r="T10" s="146">
        <f>+NUEVO!T10-ANTIGUO!T10</f>
        <v>0</v>
      </c>
      <c r="U10" s="146">
        <f>+NUEVO!U10-ANTIGUO!U10</f>
        <v>0</v>
      </c>
      <c r="V10" s="146">
        <f>+NUEVO!V10-ANTIGUO!V10</f>
        <v>0</v>
      </c>
      <c r="W10" s="146">
        <f>+NUEVO!W10-ANTIGUO!W10</f>
        <v>0</v>
      </c>
      <c r="X10" s="146">
        <f>+NUEVO!X10-ANTIGUO!X10</f>
        <v>0</v>
      </c>
      <c r="Y10" s="146">
        <f>+NUEVO!Y10-ANTIGUO!Y10</f>
        <v>0</v>
      </c>
      <c r="Z10" s="146">
        <f>+NUEVO!Z10-ANTIGUO!Z10</f>
        <v>0</v>
      </c>
      <c r="AA10" s="146">
        <f>+NUEVO!AA10-ANTIGUO!AA10</f>
        <v>0</v>
      </c>
      <c r="AB10" s="146">
        <f>+NUEVO!AB10-ANTIGUO!AB10</f>
        <v>0</v>
      </c>
      <c r="AC10" s="146">
        <f>+NUEVO!AC10-ANTIGUO!AC10</f>
        <v>0</v>
      </c>
      <c r="AD10" s="146">
        <f>+NUEVO!AD10-ANTIGUO!AD10</f>
        <v>0</v>
      </c>
      <c r="AE10" s="146">
        <f>+NUEVO!AE10-ANTIGUO!AE10</f>
        <v>0</v>
      </c>
      <c r="AF10" s="146">
        <f>+NUEVO!AF10-ANTIGUO!AF10</f>
        <v>0</v>
      </c>
      <c r="AG10" s="146">
        <f>+NUEVO!AG10-ANTIGUO!AG10</f>
        <v>0</v>
      </c>
      <c r="AH10" s="146">
        <f>+NUEVO!AH10-ANTIGUO!AH10</f>
        <v>0</v>
      </c>
      <c r="AI10" s="146">
        <f>+NUEVO!AI10-ANTIGUO!AI10</f>
        <v>0</v>
      </c>
      <c r="AJ10" s="146">
        <f>+NUEVO!AJ10-ANTIGUO!AJ10</f>
        <v>0</v>
      </c>
      <c r="AK10" s="146">
        <f>+NUEVO!AK10-ANTIGUO!AK10</f>
        <v>0</v>
      </c>
      <c r="AL10" s="146">
        <f>+NUEVO!AL10-ANTIGUO!AL10</f>
        <v>0</v>
      </c>
      <c r="AM10" s="146">
        <f>+NUEVO!AM10-ANTIGUO!AM10</f>
        <v>0</v>
      </c>
      <c r="AN10" s="146">
        <f>+NUEVO!AN10-ANTIGUO!AN10</f>
        <v>0</v>
      </c>
      <c r="AO10" s="146">
        <f>+NUEVO!AO10-ANTIGUO!AO10</f>
        <v>0</v>
      </c>
      <c r="AP10" s="146">
        <f>+NUEVO!AP10-ANTIGUO!AP10</f>
        <v>0</v>
      </c>
      <c r="AQ10" s="146">
        <f>+NUEVO!AQ10-ANTIGUO!AQ10</f>
        <v>0</v>
      </c>
      <c r="AR10" s="146">
        <f>+NUEVO!AR10-ANTIGUO!AR10</f>
        <v>0</v>
      </c>
      <c r="AS10" s="146">
        <f>+NUEVO!AS10-ANTIGUO!AS10</f>
        <v>0</v>
      </c>
      <c r="AT10" s="146">
        <f>+NUEVO!AT10-ANTIGUO!AT10</f>
        <v>0</v>
      </c>
      <c r="AU10" s="146">
        <f>+NUEVO!AU10-ANTIGUO!AU10</f>
        <v>0</v>
      </c>
      <c r="AV10" s="146">
        <f>+NUEVO!AV10-ANTIGUO!AV10</f>
        <v>0</v>
      </c>
      <c r="AW10" s="146">
        <f>+NUEVO!AW10-ANTIGUO!AW10</f>
        <v>0</v>
      </c>
      <c r="AX10" s="146">
        <f>+NUEVO!AX10-ANTIGUO!AX10</f>
        <v>0</v>
      </c>
    </row>
    <row r="11" spans="1:50" x14ac:dyDescent="0.25">
      <c r="A11" s="303"/>
      <c r="B11" s="301"/>
      <c r="C11" s="146">
        <f>+NUEVO!C11-ANTIGUO!C11</f>
        <v>0</v>
      </c>
      <c r="D11" s="146">
        <f>+NUEVO!D11-ANTIGUO!D11</f>
        <v>0</v>
      </c>
      <c r="E11" s="146">
        <f>+NUEVO!E11-ANTIGUO!E11</f>
        <v>0</v>
      </c>
      <c r="F11" s="146">
        <f>+NUEVO!F11-ANTIGUO!F11</f>
        <v>0</v>
      </c>
      <c r="G11" s="146">
        <f>+NUEVO!G11-ANTIGUO!G11</f>
        <v>0</v>
      </c>
      <c r="H11" s="146">
        <f>+NUEVO!H11-ANTIGUO!H11</f>
        <v>0</v>
      </c>
      <c r="I11" s="146">
        <f>+NUEVO!I11-ANTIGUO!I11</f>
        <v>0</v>
      </c>
      <c r="J11" s="146">
        <f>+NUEVO!J11-ANTIGUO!J11</f>
        <v>0</v>
      </c>
      <c r="K11" s="146">
        <f>+NUEVO!K11-ANTIGUO!K11</f>
        <v>0</v>
      </c>
      <c r="L11" s="146">
        <f>+NUEVO!L11-ANTIGUO!L11</f>
        <v>0</v>
      </c>
      <c r="M11" s="146">
        <f>+NUEVO!M11-ANTIGUO!M11</f>
        <v>0</v>
      </c>
      <c r="N11" s="146">
        <f>+NUEVO!N11-ANTIGUO!N11</f>
        <v>0</v>
      </c>
      <c r="O11" s="146">
        <f>+NUEVO!O11-ANTIGUO!O11</f>
        <v>0</v>
      </c>
      <c r="P11" s="146">
        <f>+NUEVO!P11-ANTIGUO!P11</f>
        <v>0</v>
      </c>
      <c r="Q11" s="146">
        <f>+NUEVO!Q11-ANTIGUO!Q11</f>
        <v>0</v>
      </c>
      <c r="R11" s="146">
        <f>+NUEVO!R11-ANTIGUO!R11</f>
        <v>0</v>
      </c>
      <c r="S11" s="146">
        <f>+NUEVO!S11-ANTIGUO!S11</f>
        <v>0</v>
      </c>
      <c r="T11" s="146">
        <f>+NUEVO!T11-ANTIGUO!T11</f>
        <v>0</v>
      </c>
      <c r="U11" s="146">
        <f>+NUEVO!U11-ANTIGUO!U11</f>
        <v>0</v>
      </c>
      <c r="V11" s="146">
        <f>+NUEVO!V11-ANTIGUO!V11</f>
        <v>0</v>
      </c>
      <c r="W11" s="146">
        <f>+NUEVO!W11-ANTIGUO!W11</f>
        <v>0</v>
      </c>
      <c r="X11" s="146">
        <f>+NUEVO!X11-ANTIGUO!X11</f>
        <v>0</v>
      </c>
      <c r="Y11" s="146">
        <f>+NUEVO!Y11-ANTIGUO!Y11</f>
        <v>0</v>
      </c>
      <c r="Z11" s="146">
        <f>+NUEVO!Z11-ANTIGUO!Z11</f>
        <v>0</v>
      </c>
      <c r="AA11" s="146">
        <f>+NUEVO!AA11-ANTIGUO!AA11</f>
        <v>0</v>
      </c>
      <c r="AB11" s="146">
        <f>+NUEVO!AB11-ANTIGUO!AB11</f>
        <v>0</v>
      </c>
      <c r="AC11" s="146">
        <f>+NUEVO!AC11-ANTIGUO!AC11</f>
        <v>0</v>
      </c>
      <c r="AD11" s="146">
        <f>+NUEVO!AD11-ANTIGUO!AD11</f>
        <v>0</v>
      </c>
      <c r="AE11" s="146">
        <f>+NUEVO!AE11-ANTIGUO!AE11</f>
        <v>0</v>
      </c>
      <c r="AF11" s="146">
        <f>+NUEVO!AF11-ANTIGUO!AF11</f>
        <v>0</v>
      </c>
      <c r="AG11" s="146">
        <f>+NUEVO!AG11-ANTIGUO!AG11</f>
        <v>0</v>
      </c>
      <c r="AH11" s="146">
        <f>+NUEVO!AH11-ANTIGUO!AH11</f>
        <v>0</v>
      </c>
      <c r="AI11" s="146">
        <f>+NUEVO!AI11-ANTIGUO!AI11</f>
        <v>0</v>
      </c>
      <c r="AJ11" s="146">
        <f>+NUEVO!AJ11-ANTIGUO!AJ11</f>
        <v>0</v>
      </c>
      <c r="AK11" s="146">
        <f>+NUEVO!AK11-ANTIGUO!AK11</f>
        <v>0</v>
      </c>
      <c r="AL11" s="146">
        <f>+NUEVO!AL11-ANTIGUO!AL11</f>
        <v>0</v>
      </c>
      <c r="AM11" s="146">
        <f>+NUEVO!AM11-ANTIGUO!AM11</f>
        <v>0</v>
      </c>
      <c r="AN11" s="146">
        <f>+NUEVO!AN11-ANTIGUO!AN11</f>
        <v>0</v>
      </c>
      <c r="AO11" s="146">
        <f>+NUEVO!AO11-ANTIGUO!AO11</f>
        <v>0</v>
      </c>
      <c r="AP11" s="146">
        <f>+NUEVO!AP11-ANTIGUO!AP11</f>
        <v>0</v>
      </c>
      <c r="AQ11" s="146">
        <f>+NUEVO!AQ11-ANTIGUO!AQ11</f>
        <v>0</v>
      </c>
      <c r="AR11" s="146">
        <f>+NUEVO!AR11-ANTIGUO!AR11</f>
        <v>0</v>
      </c>
      <c r="AS11" s="146">
        <f>+NUEVO!AS11-ANTIGUO!AS11</f>
        <v>0</v>
      </c>
      <c r="AT11" s="146">
        <f>+NUEVO!AT11-ANTIGUO!AT11</f>
        <v>0</v>
      </c>
      <c r="AU11" s="146">
        <f>+NUEVO!AU11-ANTIGUO!AU11</f>
        <v>0</v>
      </c>
      <c r="AV11" s="146">
        <f>+NUEVO!AV11-ANTIGUO!AV11</f>
        <v>0</v>
      </c>
      <c r="AW11" s="146">
        <f>+NUEVO!AW11-ANTIGUO!AW11</f>
        <v>0</v>
      </c>
      <c r="AX11" s="146">
        <f>+NUEVO!AX11-ANTIGUO!AX11</f>
        <v>0</v>
      </c>
    </row>
    <row r="12" spans="1:50" x14ac:dyDescent="0.25">
      <c r="A12" s="485" t="s">
        <v>39</v>
      </c>
      <c r="B12" s="486"/>
      <c r="C12" s="146">
        <f>+NUEVO!C12-ANTIGUO!C12</f>
        <v>0</v>
      </c>
      <c r="D12" s="146">
        <f>+NUEVO!D12-ANTIGUO!D12</f>
        <v>0</v>
      </c>
      <c r="E12" s="146">
        <f>+NUEVO!E12-ANTIGUO!E12</f>
        <v>0</v>
      </c>
      <c r="F12" s="146">
        <f>+NUEVO!F12-ANTIGUO!F12</f>
        <v>0</v>
      </c>
      <c r="G12" s="146">
        <f>+NUEVO!G12-ANTIGUO!G12</f>
        <v>0</v>
      </c>
      <c r="H12" s="146">
        <f>+NUEVO!H12-ANTIGUO!H12</f>
        <v>0</v>
      </c>
      <c r="I12" s="146">
        <f>+NUEVO!I12-ANTIGUO!I12</f>
        <v>0</v>
      </c>
      <c r="J12" s="146">
        <f>+NUEVO!J12-ANTIGUO!J12</f>
        <v>0</v>
      </c>
      <c r="K12" s="146">
        <f>+NUEVO!K12-ANTIGUO!K12</f>
        <v>0</v>
      </c>
      <c r="L12" s="146">
        <f>+NUEVO!L12-ANTIGUO!L12</f>
        <v>0</v>
      </c>
      <c r="M12" s="146">
        <f>+NUEVO!M12-ANTIGUO!M12</f>
        <v>0</v>
      </c>
      <c r="N12" s="146">
        <f>+NUEVO!N12-ANTIGUO!N12</f>
        <v>0</v>
      </c>
      <c r="O12" s="146">
        <f>+NUEVO!O12-ANTIGUO!O12</f>
        <v>0</v>
      </c>
      <c r="P12" s="146">
        <f>+NUEVO!P12-ANTIGUO!P12</f>
        <v>0</v>
      </c>
      <c r="Q12" s="146">
        <f>+NUEVO!Q12-ANTIGUO!Q12</f>
        <v>0</v>
      </c>
      <c r="R12" s="146">
        <f>+NUEVO!R12-ANTIGUO!R12</f>
        <v>0</v>
      </c>
      <c r="S12" s="146">
        <f>+NUEVO!S12-ANTIGUO!S12</f>
        <v>0</v>
      </c>
      <c r="T12" s="146">
        <f>+NUEVO!T12-ANTIGUO!T12</f>
        <v>0</v>
      </c>
      <c r="U12" s="146">
        <f>+NUEVO!U12-ANTIGUO!U12</f>
        <v>0</v>
      </c>
      <c r="V12" s="146">
        <f>+NUEVO!V12-ANTIGUO!V12</f>
        <v>0</v>
      </c>
      <c r="W12" s="146">
        <f>+NUEVO!W12-ANTIGUO!W12</f>
        <v>0</v>
      </c>
      <c r="X12" s="146">
        <f>+NUEVO!X12-ANTIGUO!X12</f>
        <v>0</v>
      </c>
      <c r="Y12" s="146">
        <f>+NUEVO!Y12-ANTIGUO!Y12</f>
        <v>0</v>
      </c>
      <c r="Z12" s="146">
        <f>+NUEVO!Z12-ANTIGUO!Z12</f>
        <v>0</v>
      </c>
      <c r="AA12" s="146">
        <f>+NUEVO!AA12-ANTIGUO!AA12</f>
        <v>0</v>
      </c>
      <c r="AB12" s="146">
        <f>+NUEVO!AB12-ANTIGUO!AB12</f>
        <v>0</v>
      </c>
      <c r="AC12" s="146">
        <f>+NUEVO!AC12-ANTIGUO!AC12</f>
        <v>0</v>
      </c>
      <c r="AD12" s="146">
        <f>+NUEVO!AD12-ANTIGUO!AD12</f>
        <v>0</v>
      </c>
      <c r="AE12" s="146">
        <f>+NUEVO!AE12-ANTIGUO!AE12</f>
        <v>0</v>
      </c>
      <c r="AF12" s="146">
        <f>+NUEVO!AF12-ANTIGUO!AF12</f>
        <v>0</v>
      </c>
      <c r="AG12" s="146">
        <f>+NUEVO!AG12-ANTIGUO!AG12</f>
        <v>0</v>
      </c>
      <c r="AH12" s="146">
        <f>+NUEVO!AH12-ANTIGUO!AH12</f>
        <v>0</v>
      </c>
      <c r="AI12" s="146">
        <f>+NUEVO!AI12-ANTIGUO!AI12</f>
        <v>0</v>
      </c>
      <c r="AJ12" s="146">
        <f>+NUEVO!AJ12-ANTIGUO!AJ12</f>
        <v>0</v>
      </c>
      <c r="AK12" s="146">
        <f>+NUEVO!AK12-ANTIGUO!AK12</f>
        <v>0</v>
      </c>
      <c r="AL12" s="146">
        <f>+NUEVO!AL12-ANTIGUO!AL12</f>
        <v>0</v>
      </c>
      <c r="AM12" s="146">
        <f>+NUEVO!AM12-ANTIGUO!AM12</f>
        <v>0</v>
      </c>
      <c r="AN12" s="146">
        <f>+NUEVO!AN12-ANTIGUO!AN12</f>
        <v>0</v>
      </c>
      <c r="AO12" s="146">
        <f>+NUEVO!AO12-ANTIGUO!AO12</f>
        <v>0</v>
      </c>
      <c r="AP12" s="146">
        <f>+NUEVO!AP12-ANTIGUO!AP12</f>
        <v>0</v>
      </c>
      <c r="AQ12" s="146">
        <f>+NUEVO!AQ12-ANTIGUO!AQ12</f>
        <v>0</v>
      </c>
      <c r="AR12" s="146">
        <f>+NUEVO!AR12-ANTIGUO!AR12</f>
        <v>0</v>
      </c>
      <c r="AS12" s="146">
        <f>+NUEVO!AS12-ANTIGUO!AS12</f>
        <v>0</v>
      </c>
      <c r="AT12" s="146">
        <f>+NUEVO!AT12-ANTIGUO!AT12</f>
        <v>0</v>
      </c>
      <c r="AU12" s="146">
        <f>+NUEVO!AU12-ANTIGUO!AU12</f>
        <v>0</v>
      </c>
      <c r="AV12" s="146">
        <f>+NUEVO!AV12-ANTIGUO!AV12</f>
        <v>0</v>
      </c>
      <c r="AW12" s="146">
        <f>+NUEVO!AW12-ANTIGUO!AW12</f>
        <v>0</v>
      </c>
      <c r="AX12" s="146">
        <f>+NUEVO!AX12-ANTIGUO!AX12</f>
        <v>0</v>
      </c>
    </row>
    <row r="13" spans="1:50" x14ac:dyDescent="0.25">
      <c r="A13" s="474" t="s">
        <v>40</v>
      </c>
      <c r="B13" s="66" t="s">
        <v>41</v>
      </c>
      <c r="C13" s="146">
        <f>+NUEVO!C13-ANTIGUO!C13</f>
        <v>-2</v>
      </c>
      <c r="D13" s="146">
        <f>+NUEVO!D13-ANTIGUO!D13</f>
        <v>-1</v>
      </c>
      <c r="E13" s="146">
        <f>+NUEVO!E13-ANTIGUO!E13</f>
        <v>-1</v>
      </c>
      <c r="F13" s="146">
        <f>+NUEVO!F13-ANTIGUO!F13</f>
        <v>0</v>
      </c>
      <c r="G13" s="146">
        <f>+NUEVO!G13-ANTIGUO!G13</f>
        <v>0</v>
      </c>
      <c r="H13" s="146">
        <f>+NUEVO!H13-ANTIGUO!H13</f>
        <v>0</v>
      </c>
      <c r="I13" s="146">
        <f>+NUEVO!I13-ANTIGUO!I13</f>
        <v>0</v>
      </c>
      <c r="J13" s="146">
        <f>+NUEVO!J13-ANTIGUO!J13</f>
        <v>0</v>
      </c>
      <c r="K13" s="146">
        <f>+NUEVO!K13-ANTIGUO!K13</f>
        <v>0</v>
      </c>
      <c r="L13" s="146">
        <f>+NUEVO!L13-ANTIGUO!L13</f>
        <v>0</v>
      </c>
      <c r="M13" s="146">
        <f>+NUEVO!M13-ANTIGUO!M13</f>
        <v>0</v>
      </c>
      <c r="N13" s="146">
        <f>+NUEVO!N13-ANTIGUO!N13</f>
        <v>0</v>
      </c>
      <c r="O13" s="146">
        <f>+NUEVO!O13-ANTIGUO!O13</f>
        <v>0</v>
      </c>
      <c r="P13" s="146">
        <f>+NUEVO!P13-ANTIGUO!P13</f>
        <v>0</v>
      </c>
      <c r="Q13" s="146">
        <f>+NUEVO!Q13-ANTIGUO!Q13</f>
        <v>0</v>
      </c>
      <c r="R13" s="146">
        <f>+NUEVO!R13-ANTIGUO!R13</f>
        <v>0</v>
      </c>
      <c r="S13" s="146">
        <f>+NUEVO!S13-ANTIGUO!S13</f>
        <v>0</v>
      </c>
      <c r="T13" s="146">
        <f>+NUEVO!T13-ANTIGUO!T13</f>
        <v>0</v>
      </c>
      <c r="U13" s="146">
        <f>+NUEVO!U13-ANTIGUO!U13</f>
        <v>-1</v>
      </c>
      <c r="V13" s="146">
        <f>+NUEVO!V13-ANTIGUO!V13</f>
        <v>0</v>
      </c>
      <c r="W13" s="146">
        <f>+NUEVO!W13-ANTIGUO!W13</f>
        <v>0</v>
      </c>
      <c r="X13" s="146">
        <f>+NUEVO!X13-ANTIGUO!X13</f>
        <v>0</v>
      </c>
      <c r="Y13" s="146">
        <f>+NUEVO!Y13-ANTIGUO!Y13</f>
        <v>0</v>
      </c>
      <c r="Z13" s="146">
        <f>+NUEVO!Z13-ANTIGUO!Z13</f>
        <v>-1</v>
      </c>
      <c r="AA13" s="146">
        <f>+NUEVO!AA13-ANTIGUO!AA13</f>
        <v>0</v>
      </c>
      <c r="AB13" s="146">
        <f>+NUEVO!AB13-ANTIGUO!AB13</f>
        <v>0</v>
      </c>
      <c r="AC13" s="146">
        <f>+NUEVO!AC13-ANTIGUO!AC13</f>
        <v>0</v>
      </c>
      <c r="AD13" s="146">
        <f>+NUEVO!AD13-ANTIGUO!AD13</f>
        <v>0</v>
      </c>
      <c r="AE13" s="146">
        <f>+NUEVO!AE13-ANTIGUO!AE13</f>
        <v>0</v>
      </c>
      <c r="AF13" s="146">
        <f>+NUEVO!AF13-ANTIGUO!AF13</f>
        <v>0</v>
      </c>
      <c r="AG13" s="146">
        <f>+NUEVO!AG13-ANTIGUO!AG13</f>
        <v>0</v>
      </c>
      <c r="AH13" s="146">
        <f>+NUEVO!AH13-ANTIGUO!AH13</f>
        <v>0</v>
      </c>
      <c r="AI13" s="146">
        <f>+NUEVO!AI13-ANTIGUO!AI13</f>
        <v>0</v>
      </c>
      <c r="AJ13" s="146">
        <f>+NUEVO!AJ13-ANTIGUO!AJ13</f>
        <v>0</v>
      </c>
      <c r="AK13" s="146">
        <f>+NUEVO!AK13-ANTIGUO!AK13</f>
        <v>0</v>
      </c>
      <c r="AL13" s="146">
        <f>+NUEVO!AL13-ANTIGUO!AL13</f>
        <v>0</v>
      </c>
      <c r="AM13" s="146">
        <f>+NUEVO!AM13-ANTIGUO!AM13</f>
        <v>0</v>
      </c>
      <c r="AN13" s="146">
        <f>+NUEVO!AN13-ANTIGUO!AN13</f>
        <v>1</v>
      </c>
      <c r="AO13" s="146">
        <f>+NUEVO!AO13-ANTIGUO!AO13</f>
        <v>-1</v>
      </c>
      <c r="AP13" s="146">
        <f>+NUEVO!AP13-ANTIGUO!AP13</f>
        <v>-1</v>
      </c>
      <c r="AQ13" s="146">
        <f>+NUEVO!AQ13-ANTIGUO!AQ13</f>
        <v>0</v>
      </c>
      <c r="AR13" s="146">
        <f>+NUEVO!AR13-ANTIGUO!AR13</f>
        <v>0</v>
      </c>
      <c r="AS13" s="146">
        <f>+NUEVO!AS13-ANTIGUO!AS13</f>
        <v>0</v>
      </c>
      <c r="AT13" s="146">
        <f>+NUEVO!AT13-ANTIGUO!AT13</f>
        <v>0</v>
      </c>
      <c r="AU13" s="146">
        <f>+NUEVO!AU13-ANTIGUO!AU13</f>
        <v>0</v>
      </c>
      <c r="AV13" s="146">
        <f>+NUEVO!AV13-ANTIGUO!AV13</f>
        <v>-2</v>
      </c>
      <c r="AW13" s="146">
        <f>+NUEVO!AW13-ANTIGUO!AW13</f>
        <v>0</v>
      </c>
      <c r="AX13" s="146">
        <f>+NUEVO!AX13-ANTIGUO!AX13</f>
        <v>0</v>
      </c>
    </row>
    <row r="14" spans="1:50" x14ac:dyDescent="0.25">
      <c r="A14" s="445"/>
      <c r="B14" s="69" t="s">
        <v>42</v>
      </c>
      <c r="C14" s="146">
        <f>+NUEVO!C14-ANTIGUO!C14</f>
        <v>1</v>
      </c>
      <c r="D14" s="146">
        <f>+NUEVO!D14-ANTIGUO!D14</f>
        <v>-1</v>
      </c>
      <c r="E14" s="146">
        <f>+NUEVO!E14-ANTIGUO!E14</f>
        <v>2</v>
      </c>
      <c r="F14" s="146">
        <f>+NUEVO!F14-ANTIGUO!F14</f>
        <v>0</v>
      </c>
      <c r="G14" s="146">
        <f>+NUEVO!G14-ANTIGUO!G14</f>
        <v>0</v>
      </c>
      <c r="H14" s="146">
        <f>+NUEVO!H14-ANTIGUO!H14</f>
        <v>0</v>
      </c>
      <c r="I14" s="146">
        <f>+NUEVO!I14-ANTIGUO!I14</f>
        <v>0</v>
      </c>
      <c r="J14" s="146">
        <f>+NUEVO!J14-ANTIGUO!J14</f>
        <v>0</v>
      </c>
      <c r="K14" s="146">
        <f>+NUEVO!K14-ANTIGUO!K14</f>
        <v>0</v>
      </c>
      <c r="L14" s="146">
        <f>+NUEVO!L14-ANTIGUO!L14</f>
        <v>0</v>
      </c>
      <c r="M14" s="146">
        <f>+NUEVO!M14-ANTIGUO!M14</f>
        <v>1</v>
      </c>
      <c r="N14" s="146">
        <f>+NUEVO!N14-ANTIGUO!N14</f>
        <v>0</v>
      </c>
      <c r="O14" s="146">
        <f>+NUEVO!O14-ANTIGUO!O14</f>
        <v>0</v>
      </c>
      <c r="P14" s="146">
        <f>+NUEVO!P14-ANTIGUO!P14</f>
        <v>0</v>
      </c>
      <c r="Q14" s="146">
        <f>+NUEVO!Q14-ANTIGUO!Q14</f>
        <v>0</v>
      </c>
      <c r="R14" s="146">
        <f>+NUEVO!R14-ANTIGUO!R14</f>
        <v>0</v>
      </c>
      <c r="S14" s="146">
        <f>+NUEVO!S14-ANTIGUO!S14</f>
        <v>0</v>
      </c>
      <c r="T14" s="146">
        <f>+NUEVO!T14-ANTIGUO!T14</f>
        <v>-1</v>
      </c>
      <c r="U14" s="146">
        <f>+NUEVO!U14-ANTIGUO!U14</f>
        <v>0</v>
      </c>
      <c r="V14" s="146">
        <f>+NUEVO!V14-ANTIGUO!V14</f>
        <v>0</v>
      </c>
      <c r="W14" s="146">
        <f>+NUEVO!W14-ANTIGUO!W14</f>
        <v>0</v>
      </c>
      <c r="X14" s="146">
        <f>+NUEVO!X14-ANTIGUO!X14</f>
        <v>0</v>
      </c>
      <c r="Y14" s="146">
        <f>+NUEVO!Y14-ANTIGUO!Y14</f>
        <v>0</v>
      </c>
      <c r="Z14" s="146">
        <f>+NUEVO!Z14-ANTIGUO!Z14</f>
        <v>0</v>
      </c>
      <c r="AA14" s="146">
        <f>+NUEVO!AA14-ANTIGUO!AA14</f>
        <v>1</v>
      </c>
      <c r="AB14" s="146">
        <f>+NUEVO!AB14-ANTIGUO!AB14</f>
        <v>0</v>
      </c>
      <c r="AC14" s="146">
        <f>+NUEVO!AC14-ANTIGUO!AC14</f>
        <v>0</v>
      </c>
      <c r="AD14" s="146">
        <f>+NUEVO!AD14-ANTIGUO!AD14</f>
        <v>-1</v>
      </c>
      <c r="AE14" s="146">
        <f>+NUEVO!AE14-ANTIGUO!AE14</f>
        <v>0</v>
      </c>
      <c r="AF14" s="146">
        <f>+NUEVO!AF14-ANTIGUO!AF14</f>
        <v>1</v>
      </c>
      <c r="AG14" s="146">
        <f>+NUEVO!AG14-ANTIGUO!AG14</f>
        <v>0</v>
      </c>
      <c r="AH14" s="146">
        <f>+NUEVO!AH14-ANTIGUO!AH14</f>
        <v>0</v>
      </c>
      <c r="AI14" s="146">
        <f>+NUEVO!AI14-ANTIGUO!AI14</f>
        <v>0</v>
      </c>
      <c r="AJ14" s="146">
        <f>+NUEVO!AJ14-ANTIGUO!AJ14</f>
        <v>0</v>
      </c>
      <c r="AK14" s="146">
        <f>+NUEVO!AK14-ANTIGUO!AK14</f>
        <v>0</v>
      </c>
      <c r="AL14" s="146">
        <f>+NUEVO!AL14-ANTIGUO!AL14</f>
        <v>0</v>
      </c>
      <c r="AM14" s="146">
        <f>+NUEVO!AM14-ANTIGUO!AM14</f>
        <v>0</v>
      </c>
      <c r="AN14" s="146">
        <f>+NUEVO!AN14-ANTIGUO!AN14</f>
        <v>2</v>
      </c>
      <c r="AO14" s="146">
        <f>+NUEVO!AO14-ANTIGUO!AO14</f>
        <v>-2</v>
      </c>
      <c r="AP14" s="146">
        <f>+NUEVO!AP14-ANTIGUO!AP14</f>
        <v>0</v>
      </c>
      <c r="AQ14" s="146">
        <f>+NUEVO!AQ14-ANTIGUO!AQ14</f>
        <v>0</v>
      </c>
      <c r="AR14" s="146">
        <f>+NUEVO!AR14-ANTIGUO!AR14</f>
        <v>0</v>
      </c>
      <c r="AS14" s="146">
        <f>+NUEVO!AS14-ANTIGUO!AS14</f>
        <v>0</v>
      </c>
      <c r="AT14" s="146">
        <f>+NUEVO!AT14-ANTIGUO!AT14</f>
        <v>0</v>
      </c>
      <c r="AU14" s="146">
        <f>+NUEVO!AU14-ANTIGUO!AU14</f>
        <v>0</v>
      </c>
      <c r="AV14" s="146">
        <f>+NUEVO!AV14-ANTIGUO!AV14</f>
        <v>1</v>
      </c>
      <c r="AW14" s="146">
        <f>+NUEVO!AW14-ANTIGUO!AW14</f>
        <v>0</v>
      </c>
      <c r="AX14" s="146">
        <f>+NUEVO!AX14-ANTIGUO!AX14</f>
        <v>0</v>
      </c>
    </row>
    <row r="15" spans="1:50" x14ac:dyDescent="0.25">
      <c r="A15" s="480" t="s">
        <v>43</v>
      </c>
      <c r="B15" s="488"/>
      <c r="C15" s="146">
        <f>+NUEVO!C15-ANTIGUO!C15</f>
        <v>10</v>
      </c>
      <c r="D15" s="146">
        <f>+NUEVO!D15-ANTIGUO!D15</f>
        <v>-19</v>
      </c>
      <c r="E15" s="146">
        <f>+NUEVO!E15-ANTIGUO!E15</f>
        <v>29</v>
      </c>
      <c r="F15" s="146">
        <f>+NUEVO!F15-ANTIGUO!F15</f>
        <v>0</v>
      </c>
      <c r="G15" s="146">
        <f>+NUEVO!G15-ANTIGUO!G15</f>
        <v>0</v>
      </c>
      <c r="H15" s="146">
        <f>+NUEVO!H15-ANTIGUO!H15</f>
        <v>0</v>
      </c>
      <c r="I15" s="146">
        <f>+NUEVO!I15-ANTIGUO!I15</f>
        <v>-1</v>
      </c>
      <c r="J15" s="146">
        <f>+NUEVO!J15-ANTIGUO!J15</f>
        <v>-4</v>
      </c>
      <c r="K15" s="146">
        <f>+NUEVO!K15-ANTIGUO!K15</f>
        <v>-2</v>
      </c>
      <c r="L15" s="146">
        <f>+NUEVO!L15-ANTIGUO!L15</f>
        <v>-4</v>
      </c>
      <c r="M15" s="146">
        <f>+NUEVO!M15-ANTIGUO!M15</f>
        <v>11</v>
      </c>
      <c r="N15" s="146">
        <f>+NUEVO!N15-ANTIGUO!N15</f>
        <v>1</v>
      </c>
      <c r="O15" s="146">
        <f>+NUEVO!O15-ANTIGUO!O15</f>
        <v>-11</v>
      </c>
      <c r="P15" s="146">
        <f>+NUEVO!P15-ANTIGUO!P15</f>
        <v>-3</v>
      </c>
      <c r="Q15" s="146">
        <f>+NUEVO!Q15-ANTIGUO!Q15</f>
        <v>6</v>
      </c>
      <c r="R15" s="146">
        <f>+NUEVO!R15-ANTIGUO!R15</f>
        <v>-2</v>
      </c>
      <c r="S15" s="146">
        <f>+NUEVO!S15-ANTIGUO!S15</f>
        <v>-3</v>
      </c>
      <c r="T15" s="146">
        <f>+NUEVO!T15-ANTIGUO!T15</f>
        <v>-2</v>
      </c>
      <c r="U15" s="146">
        <f>+NUEVO!U15-ANTIGUO!U15</f>
        <v>11</v>
      </c>
      <c r="V15" s="146">
        <f>+NUEVO!V15-ANTIGUO!V15</f>
        <v>0</v>
      </c>
      <c r="W15" s="146">
        <f>+NUEVO!W15-ANTIGUO!W15</f>
        <v>-8</v>
      </c>
      <c r="X15" s="146">
        <f>+NUEVO!X15-ANTIGUO!X15</f>
        <v>-3</v>
      </c>
      <c r="Y15" s="146">
        <f>+NUEVO!Y15-ANTIGUO!Y15</f>
        <v>10</v>
      </c>
      <c r="Z15" s="146">
        <f>+NUEVO!Z15-ANTIGUO!Z15</f>
        <v>-5</v>
      </c>
      <c r="AA15" s="146">
        <f>+NUEVO!AA15-ANTIGUO!AA15</f>
        <v>2</v>
      </c>
      <c r="AB15" s="146">
        <f>+NUEVO!AB15-ANTIGUO!AB15</f>
        <v>3</v>
      </c>
      <c r="AC15" s="146">
        <f>+NUEVO!AC15-ANTIGUO!AC15</f>
        <v>-5</v>
      </c>
      <c r="AD15" s="146">
        <f>+NUEVO!AD15-ANTIGUO!AD15</f>
        <v>-13</v>
      </c>
      <c r="AE15" s="146">
        <f>+NUEVO!AE15-ANTIGUO!AE15</f>
        <v>11</v>
      </c>
      <c r="AF15" s="146">
        <f>+NUEVO!AF15-ANTIGUO!AF15</f>
        <v>0</v>
      </c>
      <c r="AG15" s="146">
        <f>+NUEVO!AG15-ANTIGUO!AG15</f>
        <v>5</v>
      </c>
      <c r="AH15" s="146">
        <f>+NUEVO!AH15-ANTIGUO!AH15</f>
        <v>7</v>
      </c>
      <c r="AI15" s="146">
        <f>+NUEVO!AI15-ANTIGUO!AI15</f>
        <v>-1</v>
      </c>
      <c r="AJ15" s="146">
        <f>+NUEVO!AJ15-ANTIGUO!AJ15</f>
        <v>1</v>
      </c>
      <c r="AK15" s="146">
        <f>+NUEVO!AK15-ANTIGUO!AK15</f>
        <v>6</v>
      </c>
      <c r="AL15" s="146">
        <f>+NUEVO!AL15-ANTIGUO!AL15</f>
        <v>5</v>
      </c>
      <c r="AM15" s="146">
        <f>+NUEVO!AM15-ANTIGUO!AM15</f>
        <v>-2</v>
      </c>
      <c r="AN15" s="146">
        <f>+NUEVO!AN15-ANTIGUO!AN15</f>
        <v>0</v>
      </c>
      <c r="AO15" s="146">
        <f>+NUEVO!AO15-ANTIGUO!AO15</f>
        <v>37</v>
      </c>
      <c r="AP15" s="146">
        <f>+NUEVO!AP15-ANTIGUO!AP15</f>
        <v>-7</v>
      </c>
      <c r="AQ15" s="146">
        <f>+NUEVO!AQ15-ANTIGUO!AQ15</f>
        <v>6</v>
      </c>
      <c r="AR15" s="146">
        <f>+NUEVO!AR15-ANTIGUO!AR15</f>
        <v>-2</v>
      </c>
      <c r="AS15" s="146">
        <f>+NUEVO!AS15-ANTIGUO!AS15</f>
        <v>-1</v>
      </c>
      <c r="AT15" s="146">
        <f>+NUEVO!AT15-ANTIGUO!AT15</f>
        <v>-2</v>
      </c>
      <c r="AU15" s="146">
        <f>+NUEVO!AU15-ANTIGUO!AU15</f>
        <v>-6</v>
      </c>
      <c r="AV15" s="146">
        <f>+NUEVO!AV15-ANTIGUO!AV15</f>
        <v>2</v>
      </c>
      <c r="AW15" s="146">
        <f>+NUEVO!AW15-ANTIGUO!AW15</f>
        <v>1</v>
      </c>
      <c r="AX15" s="146">
        <f>+NUEVO!AX15-ANTIGUO!AX15</f>
        <v>-2</v>
      </c>
    </row>
    <row r="16" spans="1:50" x14ac:dyDescent="0.25">
      <c r="A16" s="489" t="s">
        <v>44</v>
      </c>
      <c r="B16" s="37" t="s">
        <v>45</v>
      </c>
      <c r="C16" s="146">
        <f>+NUEVO!C16-ANTIGUO!C16</f>
        <v>4</v>
      </c>
      <c r="D16" s="146">
        <f>+NUEVO!D16-ANTIGUO!D16</f>
        <v>1</v>
      </c>
      <c r="E16" s="146">
        <f>+NUEVO!E16-ANTIGUO!E16</f>
        <v>3</v>
      </c>
      <c r="F16" s="146">
        <f>+NUEVO!F16-ANTIGUO!F16</f>
        <v>0</v>
      </c>
      <c r="G16" s="146">
        <f>+NUEVO!G16-ANTIGUO!G16</f>
        <v>0</v>
      </c>
      <c r="H16" s="146">
        <f>+NUEVO!H16-ANTIGUO!H16</f>
        <v>0</v>
      </c>
      <c r="I16" s="146">
        <f>+NUEVO!I16-ANTIGUO!I16</f>
        <v>0</v>
      </c>
      <c r="J16" s="146">
        <f>+NUEVO!J16-ANTIGUO!J16</f>
        <v>0</v>
      </c>
      <c r="K16" s="146">
        <f>+NUEVO!K16-ANTIGUO!K16</f>
        <v>0</v>
      </c>
      <c r="L16" s="146">
        <f>+NUEVO!L16-ANTIGUO!L16</f>
        <v>0</v>
      </c>
      <c r="M16" s="146">
        <f>+NUEVO!M16-ANTIGUO!M16</f>
        <v>1</v>
      </c>
      <c r="N16" s="146">
        <f>+NUEVO!N16-ANTIGUO!N16</f>
        <v>0</v>
      </c>
      <c r="O16" s="146">
        <f>+NUEVO!O16-ANTIGUO!O16</f>
        <v>0</v>
      </c>
      <c r="P16" s="146">
        <f>+NUEVO!P16-ANTIGUO!P16</f>
        <v>1</v>
      </c>
      <c r="Q16" s="146">
        <f>+NUEVO!Q16-ANTIGUO!Q16</f>
        <v>0</v>
      </c>
      <c r="R16" s="146">
        <f>+NUEVO!R16-ANTIGUO!R16</f>
        <v>0</v>
      </c>
      <c r="S16" s="146">
        <f>+NUEVO!S16-ANTIGUO!S16</f>
        <v>0</v>
      </c>
      <c r="T16" s="146">
        <f>+NUEVO!T16-ANTIGUO!T16</f>
        <v>0</v>
      </c>
      <c r="U16" s="146">
        <f>+NUEVO!U16-ANTIGUO!U16</f>
        <v>1</v>
      </c>
      <c r="V16" s="146">
        <f>+NUEVO!V16-ANTIGUO!V16</f>
        <v>0</v>
      </c>
      <c r="W16" s="146">
        <f>+NUEVO!W16-ANTIGUO!W16</f>
        <v>0</v>
      </c>
      <c r="X16" s="146">
        <f>+NUEVO!X16-ANTIGUO!X16</f>
        <v>0</v>
      </c>
      <c r="Y16" s="146">
        <f>+NUEVO!Y16-ANTIGUO!Y16</f>
        <v>1</v>
      </c>
      <c r="Z16" s="146">
        <f>+NUEVO!Z16-ANTIGUO!Z16</f>
        <v>0</v>
      </c>
      <c r="AA16" s="146">
        <f>+NUEVO!AA16-ANTIGUO!AA16</f>
        <v>0</v>
      </c>
      <c r="AB16" s="146">
        <f>+NUEVO!AB16-ANTIGUO!AB16</f>
        <v>0</v>
      </c>
      <c r="AC16" s="146">
        <f>+NUEVO!AC16-ANTIGUO!AC16</f>
        <v>-2</v>
      </c>
      <c r="AD16" s="146">
        <f>+NUEVO!AD16-ANTIGUO!AD16</f>
        <v>0</v>
      </c>
      <c r="AE16" s="146">
        <f>+NUEVO!AE16-ANTIGUO!AE16</f>
        <v>1</v>
      </c>
      <c r="AF16" s="146">
        <f>+NUEVO!AF16-ANTIGUO!AF16</f>
        <v>0</v>
      </c>
      <c r="AG16" s="146">
        <f>+NUEVO!AG16-ANTIGUO!AG16</f>
        <v>1</v>
      </c>
      <c r="AH16" s="146">
        <f>+NUEVO!AH16-ANTIGUO!AH16</f>
        <v>0</v>
      </c>
      <c r="AI16" s="146">
        <f>+NUEVO!AI16-ANTIGUO!AI16</f>
        <v>1</v>
      </c>
      <c r="AJ16" s="146">
        <f>+NUEVO!AJ16-ANTIGUO!AJ16</f>
        <v>0</v>
      </c>
      <c r="AK16" s="146">
        <f>+NUEVO!AK16-ANTIGUO!AK16</f>
        <v>0</v>
      </c>
      <c r="AL16" s="146">
        <f>+NUEVO!AL16-ANTIGUO!AL16</f>
        <v>0</v>
      </c>
      <c r="AM16" s="146">
        <f>+NUEVO!AM16-ANTIGUO!AM16</f>
        <v>-1</v>
      </c>
      <c r="AN16" s="146">
        <f>+NUEVO!AN16-ANTIGUO!AN16</f>
        <v>-1</v>
      </c>
      <c r="AO16" s="146">
        <f>+NUEVO!AO16-ANTIGUO!AO16</f>
        <v>2</v>
      </c>
      <c r="AP16" s="146">
        <f>+NUEVO!AP16-ANTIGUO!AP16</f>
        <v>0</v>
      </c>
      <c r="AQ16" s="146">
        <f>+NUEVO!AQ16-ANTIGUO!AQ16</f>
        <v>0</v>
      </c>
      <c r="AR16" s="146">
        <f>+NUEVO!AR16-ANTIGUO!AR16</f>
        <v>0</v>
      </c>
      <c r="AS16" s="146">
        <f>+NUEVO!AS16-ANTIGUO!AS16</f>
        <v>0</v>
      </c>
      <c r="AT16" s="146">
        <f>+NUEVO!AT16-ANTIGUO!AT16</f>
        <v>0</v>
      </c>
      <c r="AU16" s="146">
        <f>+NUEVO!AU16-ANTIGUO!AU16</f>
        <v>0</v>
      </c>
      <c r="AV16" s="146">
        <f>+NUEVO!AV16-ANTIGUO!AV16</f>
        <v>0</v>
      </c>
      <c r="AW16" s="146">
        <f>+NUEVO!AW16-ANTIGUO!AW16</f>
        <v>0</v>
      </c>
      <c r="AX16" s="146">
        <f>+NUEVO!AX16-ANTIGUO!AX16</f>
        <v>0</v>
      </c>
    </row>
    <row r="17" spans="1:50" x14ac:dyDescent="0.25">
      <c r="A17" s="490"/>
      <c r="B17" s="80" t="s">
        <v>46</v>
      </c>
      <c r="C17" s="146">
        <f>+NUEVO!C17-ANTIGUO!C17</f>
        <v>20</v>
      </c>
      <c r="D17" s="146">
        <f>+NUEVO!D17-ANTIGUO!D17</f>
        <v>3</v>
      </c>
      <c r="E17" s="146">
        <f>+NUEVO!E17-ANTIGUO!E17</f>
        <v>17</v>
      </c>
      <c r="F17" s="146">
        <f>+NUEVO!F17-ANTIGUO!F17</f>
        <v>0</v>
      </c>
      <c r="G17" s="146">
        <f>+NUEVO!G17-ANTIGUO!G17</f>
        <v>0</v>
      </c>
      <c r="H17" s="146">
        <f>+NUEVO!H17-ANTIGUO!H17</f>
        <v>0</v>
      </c>
      <c r="I17" s="146">
        <f>+NUEVO!I17-ANTIGUO!I17</f>
        <v>0</v>
      </c>
      <c r="J17" s="146">
        <f>+NUEVO!J17-ANTIGUO!J17</f>
        <v>0</v>
      </c>
      <c r="K17" s="146">
        <f>+NUEVO!K17-ANTIGUO!K17</f>
        <v>0</v>
      </c>
      <c r="L17" s="146">
        <f>+NUEVO!L17-ANTIGUO!L17</f>
        <v>1</v>
      </c>
      <c r="M17" s="146">
        <f>+NUEVO!M17-ANTIGUO!M17</f>
        <v>1</v>
      </c>
      <c r="N17" s="146">
        <f>+NUEVO!N17-ANTIGUO!N17</f>
        <v>0</v>
      </c>
      <c r="O17" s="146">
        <f>+NUEVO!O17-ANTIGUO!O17</f>
        <v>2</v>
      </c>
      <c r="P17" s="146">
        <f>+NUEVO!P17-ANTIGUO!P17</f>
        <v>-1</v>
      </c>
      <c r="Q17" s="146">
        <f>+NUEVO!Q17-ANTIGUO!Q17</f>
        <v>2</v>
      </c>
      <c r="R17" s="146">
        <f>+NUEVO!R17-ANTIGUO!R17</f>
        <v>1</v>
      </c>
      <c r="S17" s="146">
        <f>+NUEVO!S17-ANTIGUO!S17</f>
        <v>1</v>
      </c>
      <c r="T17" s="146">
        <f>+NUEVO!T17-ANTIGUO!T17</f>
        <v>0</v>
      </c>
      <c r="U17" s="146">
        <f>+NUEVO!U17-ANTIGUO!U17</f>
        <v>2</v>
      </c>
      <c r="V17" s="146">
        <f>+NUEVO!V17-ANTIGUO!V17</f>
        <v>-1</v>
      </c>
      <c r="W17" s="146">
        <f>+NUEVO!W17-ANTIGUO!W17</f>
        <v>0</v>
      </c>
      <c r="X17" s="146">
        <f>+NUEVO!X17-ANTIGUO!X17</f>
        <v>1</v>
      </c>
      <c r="Y17" s="146">
        <f>+NUEVO!Y17-ANTIGUO!Y17</f>
        <v>2</v>
      </c>
      <c r="Z17" s="146">
        <f>+NUEVO!Z17-ANTIGUO!Z17</f>
        <v>0</v>
      </c>
      <c r="AA17" s="146">
        <f>+NUEVO!AA17-ANTIGUO!AA17</f>
        <v>2</v>
      </c>
      <c r="AB17" s="146">
        <f>+NUEVO!AB17-ANTIGUO!AB17</f>
        <v>0</v>
      </c>
      <c r="AC17" s="146">
        <f>+NUEVO!AC17-ANTIGUO!AC17</f>
        <v>2</v>
      </c>
      <c r="AD17" s="146">
        <f>+NUEVO!AD17-ANTIGUO!AD17</f>
        <v>1</v>
      </c>
      <c r="AE17" s="146">
        <f>+NUEVO!AE17-ANTIGUO!AE17</f>
        <v>3</v>
      </c>
      <c r="AF17" s="146">
        <f>+NUEVO!AF17-ANTIGUO!AF17</f>
        <v>0</v>
      </c>
      <c r="AG17" s="146">
        <f>+NUEVO!AG17-ANTIGUO!AG17</f>
        <v>1</v>
      </c>
      <c r="AH17" s="146">
        <f>+NUEVO!AH17-ANTIGUO!AH17</f>
        <v>0</v>
      </c>
      <c r="AI17" s="146">
        <f>+NUEVO!AI17-ANTIGUO!AI17</f>
        <v>-1</v>
      </c>
      <c r="AJ17" s="146">
        <f>+NUEVO!AJ17-ANTIGUO!AJ17</f>
        <v>0</v>
      </c>
      <c r="AK17" s="146">
        <f>+NUEVO!AK17-ANTIGUO!AK17</f>
        <v>0</v>
      </c>
      <c r="AL17" s="146">
        <f>+NUEVO!AL17-ANTIGUO!AL17</f>
        <v>1</v>
      </c>
      <c r="AM17" s="146">
        <f>+NUEVO!AM17-ANTIGUO!AM17</f>
        <v>0</v>
      </c>
      <c r="AN17" s="146">
        <f>+NUEVO!AN17-ANTIGUO!AN17</f>
        <v>0</v>
      </c>
      <c r="AO17" s="146">
        <f>+NUEVO!AO17-ANTIGUO!AO17</f>
        <v>18</v>
      </c>
      <c r="AP17" s="146">
        <f>+NUEVO!AP17-ANTIGUO!AP17</f>
        <v>0</v>
      </c>
      <c r="AQ17" s="146">
        <f>+NUEVO!AQ17-ANTIGUO!AQ17</f>
        <v>1</v>
      </c>
      <c r="AR17" s="146">
        <f>+NUEVO!AR17-ANTIGUO!AR17</f>
        <v>0</v>
      </c>
      <c r="AS17" s="146">
        <f>+NUEVO!AS17-ANTIGUO!AS17</f>
        <v>0</v>
      </c>
      <c r="AT17" s="146">
        <f>+NUEVO!AT17-ANTIGUO!AT17</f>
        <v>0</v>
      </c>
      <c r="AU17" s="146">
        <f>+NUEVO!AU17-ANTIGUO!AU17</f>
        <v>0</v>
      </c>
      <c r="AV17" s="146">
        <f>+NUEVO!AV17-ANTIGUO!AV17</f>
        <v>0</v>
      </c>
      <c r="AW17" s="146">
        <f>+NUEVO!AW17-ANTIGUO!AW17</f>
        <v>0</v>
      </c>
      <c r="AX17" s="146">
        <f>+NUEVO!AX17-ANTIGUO!AX17</f>
        <v>0</v>
      </c>
    </row>
    <row r="18" spans="1:50" x14ac:dyDescent="0.25">
      <c r="A18" s="490"/>
      <c r="B18" s="80" t="s">
        <v>47</v>
      </c>
      <c r="C18" s="146">
        <f>+NUEVO!C18-ANTIGUO!C18</f>
        <v>5</v>
      </c>
      <c r="D18" s="146">
        <f>+NUEVO!D18-ANTIGUO!D18</f>
        <v>0</v>
      </c>
      <c r="E18" s="146">
        <f>+NUEVO!E18-ANTIGUO!E18</f>
        <v>5</v>
      </c>
      <c r="F18" s="146">
        <f>+NUEVO!F18-ANTIGUO!F18</f>
        <v>0</v>
      </c>
      <c r="G18" s="146">
        <f>+NUEVO!G18-ANTIGUO!G18</f>
        <v>0</v>
      </c>
      <c r="H18" s="146">
        <f>+NUEVO!H18-ANTIGUO!H18</f>
        <v>0</v>
      </c>
      <c r="I18" s="146">
        <f>+NUEVO!I18-ANTIGUO!I18</f>
        <v>0</v>
      </c>
      <c r="J18" s="146">
        <f>+NUEVO!J18-ANTIGUO!J18</f>
        <v>0</v>
      </c>
      <c r="K18" s="146">
        <f>+NUEVO!K18-ANTIGUO!K18</f>
        <v>0</v>
      </c>
      <c r="L18" s="146">
        <f>+NUEVO!L18-ANTIGUO!L18</f>
        <v>0</v>
      </c>
      <c r="M18" s="146">
        <f>+NUEVO!M18-ANTIGUO!M18</f>
        <v>2</v>
      </c>
      <c r="N18" s="146">
        <f>+NUEVO!N18-ANTIGUO!N18</f>
        <v>0</v>
      </c>
      <c r="O18" s="146">
        <f>+NUEVO!O18-ANTIGUO!O18</f>
        <v>0</v>
      </c>
      <c r="P18" s="146">
        <f>+NUEVO!P18-ANTIGUO!P18</f>
        <v>0</v>
      </c>
      <c r="Q18" s="146">
        <f>+NUEVO!Q18-ANTIGUO!Q18</f>
        <v>1</v>
      </c>
      <c r="R18" s="146">
        <f>+NUEVO!R18-ANTIGUO!R18</f>
        <v>0</v>
      </c>
      <c r="S18" s="146">
        <f>+NUEVO!S18-ANTIGUO!S18</f>
        <v>0</v>
      </c>
      <c r="T18" s="146">
        <f>+NUEVO!T18-ANTIGUO!T18</f>
        <v>-1</v>
      </c>
      <c r="U18" s="146">
        <f>+NUEVO!U18-ANTIGUO!U18</f>
        <v>1</v>
      </c>
      <c r="V18" s="146">
        <f>+NUEVO!V18-ANTIGUO!V18</f>
        <v>0</v>
      </c>
      <c r="W18" s="146">
        <f>+NUEVO!W18-ANTIGUO!W18</f>
        <v>-1</v>
      </c>
      <c r="X18" s="146">
        <f>+NUEVO!X18-ANTIGUO!X18</f>
        <v>0</v>
      </c>
      <c r="Y18" s="146">
        <f>+NUEVO!Y18-ANTIGUO!Y18</f>
        <v>1</v>
      </c>
      <c r="Z18" s="146">
        <f>+NUEVO!Z18-ANTIGUO!Z18</f>
        <v>0</v>
      </c>
      <c r="AA18" s="146">
        <f>+NUEVO!AA18-ANTIGUO!AA18</f>
        <v>0</v>
      </c>
      <c r="AB18" s="146">
        <f>+NUEVO!AB18-ANTIGUO!AB18</f>
        <v>1</v>
      </c>
      <c r="AC18" s="146">
        <f>+NUEVO!AC18-ANTIGUO!AC18</f>
        <v>0</v>
      </c>
      <c r="AD18" s="146">
        <f>+NUEVO!AD18-ANTIGUO!AD18</f>
        <v>-1</v>
      </c>
      <c r="AE18" s="146">
        <f>+NUEVO!AE18-ANTIGUO!AE18</f>
        <v>1</v>
      </c>
      <c r="AF18" s="146">
        <f>+NUEVO!AF18-ANTIGUO!AF18</f>
        <v>1</v>
      </c>
      <c r="AG18" s="146">
        <f>+NUEVO!AG18-ANTIGUO!AG18</f>
        <v>0</v>
      </c>
      <c r="AH18" s="146">
        <f>+NUEVO!AH18-ANTIGUO!AH18</f>
        <v>0</v>
      </c>
      <c r="AI18" s="146">
        <f>+NUEVO!AI18-ANTIGUO!AI18</f>
        <v>0</v>
      </c>
      <c r="AJ18" s="146">
        <f>+NUEVO!AJ18-ANTIGUO!AJ18</f>
        <v>0</v>
      </c>
      <c r="AK18" s="146">
        <f>+NUEVO!AK18-ANTIGUO!AK18</f>
        <v>0</v>
      </c>
      <c r="AL18" s="146">
        <f>+NUEVO!AL18-ANTIGUO!AL18</f>
        <v>0</v>
      </c>
      <c r="AM18" s="146">
        <f>+NUEVO!AM18-ANTIGUO!AM18</f>
        <v>0</v>
      </c>
      <c r="AN18" s="146">
        <f>+NUEVO!AN18-ANTIGUO!AN18</f>
        <v>0</v>
      </c>
      <c r="AO18" s="146">
        <f>+NUEVO!AO18-ANTIGUO!AO18</f>
        <v>0</v>
      </c>
      <c r="AP18" s="146">
        <f>+NUEVO!AP18-ANTIGUO!AP18</f>
        <v>0</v>
      </c>
      <c r="AQ18" s="146">
        <f>+NUEVO!AQ18-ANTIGUO!AQ18</f>
        <v>1</v>
      </c>
      <c r="AR18" s="146">
        <f>+NUEVO!AR18-ANTIGUO!AR18</f>
        <v>0</v>
      </c>
      <c r="AS18" s="146">
        <f>+NUEVO!AS18-ANTIGUO!AS18</f>
        <v>0</v>
      </c>
      <c r="AT18" s="146">
        <f>+NUEVO!AT18-ANTIGUO!AT18</f>
        <v>0</v>
      </c>
      <c r="AU18" s="146">
        <f>+NUEVO!AU18-ANTIGUO!AU18</f>
        <v>1</v>
      </c>
      <c r="AV18" s="146">
        <f>+NUEVO!AV18-ANTIGUO!AV18</f>
        <v>1</v>
      </c>
      <c r="AW18" s="146">
        <f>+NUEVO!AW18-ANTIGUO!AW18</f>
        <v>0</v>
      </c>
      <c r="AX18" s="146">
        <f>+NUEVO!AX18-ANTIGUO!AX18</f>
        <v>0</v>
      </c>
    </row>
    <row r="19" spans="1:50" x14ac:dyDescent="0.25">
      <c r="A19" s="491"/>
      <c r="B19" s="88" t="s">
        <v>48</v>
      </c>
      <c r="C19" s="146">
        <f>+NUEVO!C19-ANTIGUO!C19</f>
        <v>0</v>
      </c>
      <c r="D19" s="146">
        <f>+NUEVO!D19-ANTIGUO!D19</f>
        <v>0</v>
      </c>
      <c r="E19" s="146">
        <f>+NUEVO!E19-ANTIGUO!E19</f>
        <v>0</v>
      </c>
      <c r="F19" s="146">
        <f>+NUEVO!F19-ANTIGUO!F19</f>
        <v>0</v>
      </c>
      <c r="G19" s="146">
        <f>+NUEVO!G19-ANTIGUO!G19</f>
        <v>0</v>
      </c>
      <c r="H19" s="146">
        <f>+NUEVO!H19-ANTIGUO!H19</f>
        <v>0</v>
      </c>
      <c r="I19" s="146">
        <f>+NUEVO!I19-ANTIGUO!I19</f>
        <v>0</v>
      </c>
      <c r="J19" s="146">
        <f>+NUEVO!J19-ANTIGUO!J19</f>
        <v>0</v>
      </c>
      <c r="K19" s="146">
        <f>+NUEVO!K19-ANTIGUO!K19</f>
        <v>0</v>
      </c>
      <c r="L19" s="146">
        <f>+NUEVO!L19-ANTIGUO!L19</f>
        <v>0</v>
      </c>
      <c r="M19" s="146">
        <f>+NUEVO!M19-ANTIGUO!M19</f>
        <v>0</v>
      </c>
      <c r="N19" s="146">
        <f>+NUEVO!N19-ANTIGUO!N19</f>
        <v>0</v>
      </c>
      <c r="O19" s="146">
        <f>+NUEVO!O19-ANTIGUO!O19</f>
        <v>0</v>
      </c>
      <c r="P19" s="146">
        <f>+NUEVO!P19-ANTIGUO!P19</f>
        <v>0</v>
      </c>
      <c r="Q19" s="146">
        <f>+NUEVO!Q19-ANTIGUO!Q19</f>
        <v>0</v>
      </c>
      <c r="R19" s="146">
        <f>+NUEVO!R19-ANTIGUO!R19</f>
        <v>0</v>
      </c>
      <c r="S19" s="146">
        <f>+NUEVO!S19-ANTIGUO!S19</f>
        <v>0</v>
      </c>
      <c r="T19" s="146">
        <f>+NUEVO!T19-ANTIGUO!T19</f>
        <v>0</v>
      </c>
      <c r="U19" s="146">
        <f>+NUEVO!U19-ANTIGUO!U19</f>
        <v>0</v>
      </c>
      <c r="V19" s="146">
        <f>+NUEVO!V19-ANTIGUO!V19</f>
        <v>0</v>
      </c>
      <c r="W19" s="146">
        <f>+NUEVO!W19-ANTIGUO!W19</f>
        <v>0</v>
      </c>
      <c r="X19" s="146">
        <f>+NUEVO!X19-ANTIGUO!X19</f>
        <v>0</v>
      </c>
      <c r="Y19" s="146">
        <f>+NUEVO!Y19-ANTIGUO!Y19</f>
        <v>0</v>
      </c>
      <c r="Z19" s="146">
        <f>+NUEVO!Z19-ANTIGUO!Z19</f>
        <v>0</v>
      </c>
      <c r="AA19" s="146">
        <f>+NUEVO!AA19-ANTIGUO!AA19</f>
        <v>0</v>
      </c>
      <c r="AB19" s="146">
        <f>+NUEVO!AB19-ANTIGUO!AB19</f>
        <v>0</v>
      </c>
      <c r="AC19" s="146">
        <f>+NUEVO!AC19-ANTIGUO!AC19</f>
        <v>0</v>
      </c>
      <c r="AD19" s="146">
        <f>+NUEVO!AD19-ANTIGUO!AD19</f>
        <v>0</v>
      </c>
      <c r="AE19" s="146">
        <f>+NUEVO!AE19-ANTIGUO!AE19</f>
        <v>0</v>
      </c>
      <c r="AF19" s="146">
        <f>+NUEVO!AF19-ANTIGUO!AF19</f>
        <v>0</v>
      </c>
      <c r="AG19" s="146">
        <f>+NUEVO!AG19-ANTIGUO!AG19</f>
        <v>0</v>
      </c>
      <c r="AH19" s="146">
        <f>+NUEVO!AH19-ANTIGUO!AH19</f>
        <v>0</v>
      </c>
      <c r="AI19" s="146">
        <f>+NUEVO!AI19-ANTIGUO!AI19</f>
        <v>0</v>
      </c>
      <c r="AJ19" s="146">
        <f>+NUEVO!AJ19-ANTIGUO!AJ19</f>
        <v>0</v>
      </c>
      <c r="AK19" s="146">
        <f>+NUEVO!AK19-ANTIGUO!AK19</f>
        <v>0</v>
      </c>
      <c r="AL19" s="146">
        <f>+NUEVO!AL19-ANTIGUO!AL19</f>
        <v>0</v>
      </c>
      <c r="AM19" s="146">
        <f>+NUEVO!AM19-ANTIGUO!AM19</f>
        <v>0</v>
      </c>
      <c r="AN19" s="146">
        <f>+NUEVO!AN19-ANTIGUO!AN19</f>
        <v>0</v>
      </c>
      <c r="AO19" s="146">
        <f>+NUEVO!AO19-ANTIGUO!AO19</f>
        <v>0</v>
      </c>
      <c r="AP19" s="146">
        <f>+NUEVO!AP19-ANTIGUO!AP19</f>
        <v>0</v>
      </c>
      <c r="AQ19" s="146">
        <f>+NUEVO!AQ19-ANTIGUO!AQ19</f>
        <v>0</v>
      </c>
      <c r="AR19" s="146">
        <f>+NUEVO!AR19-ANTIGUO!AR19</f>
        <v>0</v>
      </c>
      <c r="AS19" s="146">
        <f>+NUEVO!AS19-ANTIGUO!AS19</f>
        <v>0</v>
      </c>
      <c r="AT19" s="146">
        <f>+NUEVO!AT19-ANTIGUO!AT19</f>
        <v>0</v>
      </c>
      <c r="AU19" s="146">
        <f>+NUEVO!AU19-ANTIGUO!AU19</f>
        <v>0</v>
      </c>
      <c r="AV19" s="146">
        <f>+NUEVO!AV19-ANTIGUO!AV19</f>
        <v>0</v>
      </c>
      <c r="AW19" s="146">
        <f>+NUEVO!AW19-ANTIGUO!AW19</f>
        <v>0</v>
      </c>
      <c r="AX19" s="146">
        <f>+NUEVO!AX19-ANTIGUO!AX19</f>
        <v>0</v>
      </c>
    </row>
    <row r="20" spans="1:50" x14ac:dyDescent="0.25">
      <c r="A20" s="492"/>
      <c r="B20" s="47" t="s">
        <v>49</v>
      </c>
      <c r="C20" s="146">
        <f>+NUEVO!C20-ANTIGUO!C20</f>
        <v>3</v>
      </c>
      <c r="D20" s="146">
        <f>+NUEVO!D20-ANTIGUO!D20</f>
        <v>1</v>
      </c>
      <c r="E20" s="146">
        <f>+NUEVO!E20-ANTIGUO!E20</f>
        <v>2</v>
      </c>
      <c r="F20" s="146">
        <f>+NUEVO!F20-ANTIGUO!F20</f>
        <v>0</v>
      </c>
      <c r="G20" s="146">
        <f>+NUEVO!G20-ANTIGUO!G20</f>
        <v>0</v>
      </c>
      <c r="H20" s="146">
        <f>+NUEVO!H20-ANTIGUO!H20</f>
        <v>0</v>
      </c>
      <c r="I20" s="146">
        <f>+NUEVO!I20-ANTIGUO!I20</f>
        <v>0</v>
      </c>
      <c r="J20" s="146">
        <f>+NUEVO!J20-ANTIGUO!J20</f>
        <v>0</v>
      </c>
      <c r="K20" s="146">
        <f>+NUEVO!K20-ANTIGUO!K20</f>
        <v>0</v>
      </c>
      <c r="L20" s="146">
        <f>+NUEVO!L20-ANTIGUO!L20</f>
        <v>0</v>
      </c>
      <c r="M20" s="146">
        <f>+NUEVO!M20-ANTIGUO!M20</f>
        <v>0</v>
      </c>
      <c r="N20" s="146">
        <f>+NUEVO!N20-ANTIGUO!N20</f>
        <v>1</v>
      </c>
      <c r="O20" s="146">
        <f>+NUEVO!O20-ANTIGUO!O20</f>
        <v>0</v>
      </c>
      <c r="P20" s="146">
        <f>+NUEVO!P20-ANTIGUO!P20</f>
        <v>0</v>
      </c>
      <c r="Q20" s="146">
        <f>+NUEVO!Q20-ANTIGUO!Q20</f>
        <v>0</v>
      </c>
      <c r="R20" s="146">
        <f>+NUEVO!R20-ANTIGUO!R20</f>
        <v>0</v>
      </c>
      <c r="S20" s="146">
        <f>+NUEVO!S20-ANTIGUO!S20</f>
        <v>0</v>
      </c>
      <c r="T20" s="146">
        <f>+NUEVO!T20-ANTIGUO!T20</f>
        <v>0</v>
      </c>
      <c r="U20" s="146">
        <f>+NUEVO!U20-ANTIGUO!U20</f>
        <v>1</v>
      </c>
      <c r="V20" s="146">
        <f>+NUEVO!V20-ANTIGUO!V20</f>
        <v>0</v>
      </c>
      <c r="W20" s="146">
        <f>+NUEVO!W20-ANTIGUO!W20</f>
        <v>0</v>
      </c>
      <c r="X20" s="146">
        <f>+NUEVO!X20-ANTIGUO!X20</f>
        <v>0</v>
      </c>
      <c r="Y20" s="146">
        <f>+NUEVO!Y20-ANTIGUO!Y20</f>
        <v>0</v>
      </c>
      <c r="Z20" s="146">
        <f>+NUEVO!Z20-ANTIGUO!Z20</f>
        <v>0</v>
      </c>
      <c r="AA20" s="146">
        <f>+NUEVO!AA20-ANTIGUO!AA20</f>
        <v>0</v>
      </c>
      <c r="AB20" s="146">
        <f>+NUEVO!AB20-ANTIGUO!AB20</f>
        <v>0</v>
      </c>
      <c r="AC20" s="146">
        <f>+NUEVO!AC20-ANTIGUO!AC20</f>
        <v>1</v>
      </c>
      <c r="AD20" s="146">
        <f>+NUEVO!AD20-ANTIGUO!AD20</f>
        <v>0</v>
      </c>
      <c r="AE20" s="146">
        <f>+NUEVO!AE20-ANTIGUO!AE20</f>
        <v>0</v>
      </c>
      <c r="AF20" s="146">
        <f>+NUEVO!AF20-ANTIGUO!AF20</f>
        <v>0</v>
      </c>
      <c r="AG20" s="146">
        <f>+NUEVO!AG20-ANTIGUO!AG20</f>
        <v>0</v>
      </c>
      <c r="AH20" s="146">
        <f>+NUEVO!AH20-ANTIGUO!AH20</f>
        <v>0</v>
      </c>
      <c r="AI20" s="146">
        <f>+NUEVO!AI20-ANTIGUO!AI20</f>
        <v>0</v>
      </c>
      <c r="AJ20" s="146">
        <f>+NUEVO!AJ20-ANTIGUO!AJ20</f>
        <v>0</v>
      </c>
      <c r="AK20" s="146">
        <f>+NUEVO!AK20-ANTIGUO!AK20</f>
        <v>0</v>
      </c>
      <c r="AL20" s="146">
        <f>+NUEVO!AL20-ANTIGUO!AL20</f>
        <v>0</v>
      </c>
      <c r="AM20" s="146">
        <f>+NUEVO!AM20-ANTIGUO!AM20</f>
        <v>0</v>
      </c>
      <c r="AN20" s="146">
        <f>+NUEVO!AN20-ANTIGUO!AN20</f>
        <v>0</v>
      </c>
      <c r="AO20" s="146">
        <f>+NUEVO!AO20-ANTIGUO!AO20</f>
        <v>0</v>
      </c>
      <c r="AP20" s="146">
        <f>+NUEVO!AP20-ANTIGUO!AP20</f>
        <v>0</v>
      </c>
      <c r="AQ20" s="146">
        <f>+NUEVO!AQ20-ANTIGUO!AQ20</f>
        <v>0</v>
      </c>
      <c r="AR20" s="146">
        <f>+NUEVO!AR20-ANTIGUO!AR20</f>
        <v>0</v>
      </c>
      <c r="AS20" s="146">
        <f>+NUEVO!AS20-ANTIGUO!AS20</f>
        <v>0</v>
      </c>
      <c r="AT20" s="146">
        <f>+NUEVO!AT20-ANTIGUO!AT20</f>
        <v>0</v>
      </c>
      <c r="AU20" s="146">
        <f>+NUEVO!AU20-ANTIGUO!AU20</f>
        <v>0</v>
      </c>
      <c r="AV20" s="146">
        <f>+NUEVO!AV20-ANTIGUO!AV20</f>
        <v>0</v>
      </c>
      <c r="AW20" s="146">
        <f>+NUEVO!AW20-ANTIGUO!AW20</f>
        <v>0</v>
      </c>
      <c r="AX20" s="146">
        <f>+NUEVO!AX20-ANTIGUO!AX20</f>
        <v>0</v>
      </c>
    </row>
    <row r="21" spans="1:50" x14ac:dyDescent="0.25">
      <c r="A21" s="489" t="s">
        <v>50</v>
      </c>
      <c r="B21" s="105" t="s">
        <v>51</v>
      </c>
      <c r="C21" s="146">
        <f>+NUEVO!C21-ANTIGUO!C21</f>
        <v>0</v>
      </c>
      <c r="D21" s="146">
        <f>+NUEVO!D21-ANTIGUO!D21</f>
        <v>0</v>
      </c>
      <c r="E21" s="146">
        <f>+NUEVO!E21-ANTIGUO!E21</f>
        <v>0</v>
      </c>
      <c r="F21" s="146">
        <f>+NUEVO!F21-ANTIGUO!F21</f>
        <v>0</v>
      </c>
      <c r="G21" s="146">
        <f>+NUEVO!G21-ANTIGUO!G21</f>
        <v>0</v>
      </c>
      <c r="H21" s="146">
        <f>+NUEVO!H21-ANTIGUO!H21</f>
        <v>0</v>
      </c>
      <c r="I21" s="146">
        <f>+NUEVO!I21-ANTIGUO!I21</f>
        <v>0</v>
      </c>
      <c r="J21" s="146">
        <f>+NUEVO!J21-ANTIGUO!J21</f>
        <v>0</v>
      </c>
      <c r="K21" s="146">
        <f>+NUEVO!K21-ANTIGUO!K21</f>
        <v>0</v>
      </c>
      <c r="L21" s="146">
        <f>+NUEVO!L21-ANTIGUO!L21</f>
        <v>0</v>
      </c>
      <c r="M21" s="146">
        <f>+NUEVO!M21-ANTIGUO!M21</f>
        <v>0</v>
      </c>
      <c r="N21" s="146">
        <f>+NUEVO!N21-ANTIGUO!N21</f>
        <v>1</v>
      </c>
      <c r="O21" s="146">
        <f>+NUEVO!O21-ANTIGUO!O21</f>
        <v>0</v>
      </c>
      <c r="P21" s="146">
        <f>+NUEVO!P21-ANTIGUO!P21</f>
        <v>0</v>
      </c>
      <c r="Q21" s="146">
        <f>+NUEVO!Q21-ANTIGUO!Q21</f>
        <v>0</v>
      </c>
      <c r="R21" s="146">
        <f>+NUEVO!R21-ANTIGUO!R21</f>
        <v>0</v>
      </c>
      <c r="S21" s="146">
        <f>+NUEVO!S21-ANTIGUO!S21</f>
        <v>0</v>
      </c>
      <c r="T21" s="146">
        <f>+NUEVO!T21-ANTIGUO!T21</f>
        <v>0</v>
      </c>
      <c r="U21" s="146">
        <f>+NUEVO!U21-ANTIGUO!U21</f>
        <v>0</v>
      </c>
      <c r="V21" s="146">
        <f>+NUEVO!V21-ANTIGUO!V21</f>
        <v>0</v>
      </c>
      <c r="W21" s="146">
        <f>+NUEVO!W21-ANTIGUO!W21</f>
        <v>0</v>
      </c>
      <c r="X21" s="146">
        <f>+NUEVO!X21-ANTIGUO!X21</f>
        <v>0</v>
      </c>
      <c r="Y21" s="146">
        <f>+NUEVO!Y21-ANTIGUO!Y21</f>
        <v>0</v>
      </c>
      <c r="Z21" s="146">
        <f>+NUEVO!Z21-ANTIGUO!Z21</f>
        <v>-1</v>
      </c>
      <c r="AA21" s="146">
        <f>+NUEVO!AA21-ANTIGUO!AA21</f>
        <v>0</v>
      </c>
      <c r="AB21" s="146">
        <f>+NUEVO!AB21-ANTIGUO!AB21</f>
        <v>0</v>
      </c>
      <c r="AC21" s="146">
        <f>+NUEVO!AC21-ANTIGUO!AC21</f>
        <v>0</v>
      </c>
      <c r="AD21" s="146">
        <f>+NUEVO!AD21-ANTIGUO!AD21</f>
        <v>0</v>
      </c>
      <c r="AE21" s="146">
        <f>+NUEVO!AE21-ANTIGUO!AE21</f>
        <v>0</v>
      </c>
      <c r="AF21" s="146">
        <f>+NUEVO!AF21-ANTIGUO!AF21</f>
        <v>0</v>
      </c>
      <c r="AG21" s="146">
        <f>+NUEVO!AG21-ANTIGUO!AG21</f>
        <v>0</v>
      </c>
      <c r="AH21" s="146">
        <f>+NUEVO!AH21-ANTIGUO!AH21</f>
        <v>0</v>
      </c>
      <c r="AI21" s="146">
        <f>+NUEVO!AI21-ANTIGUO!AI21</f>
        <v>0</v>
      </c>
      <c r="AJ21" s="146">
        <f>+NUEVO!AJ21-ANTIGUO!AJ21</f>
        <v>0</v>
      </c>
      <c r="AK21" s="146">
        <f>+NUEVO!AK21-ANTIGUO!AK21</f>
        <v>0</v>
      </c>
      <c r="AL21" s="146">
        <f>+NUEVO!AL21-ANTIGUO!AL21</f>
        <v>0</v>
      </c>
      <c r="AM21" s="146">
        <f>+NUEVO!AM21-ANTIGUO!AM21</f>
        <v>0</v>
      </c>
      <c r="AN21" s="146">
        <f>+NUEVO!AN21-ANTIGUO!AN21</f>
        <v>0</v>
      </c>
      <c r="AO21" s="146">
        <f>+NUEVO!AO21-ANTIGUO!AO21</f>
        <v>0</v>
      </c>
      <c r="AP21" s="146">
        <f>+NUEVO!AP21-ANTIGUO!AP21</f>
        <v>-1</v>
      </c>
      <c r="AQ21" s="146">
        <f>+NUEVO!AQ21-ANTIGUO!AQ21</f>
        <v>0</v>
      </c>
      <c r="AR21" s="146">
        <f>+NUEVO!AR21-ANTIGUO!AR21</f>
        <v>0</v>
      </c>
      <c r="AS21" s="146">
        <f>+NUEVO!AS21-ANTIGUO!AS21</f>
        <v>0</v>
      </c>
      <c r="AT21" s="146">
        <f>+NUEVO!AT21-ANTIGUO!AT21</f>
        <v>0</v>
      </c>
      <c r="AU21" s="146">
        <f>+NUEVO!AU21-ANTIGUO!AU21</f>
        <v>0</v>
      </c>
      <c r="AV21" s="146">
        <f>+NUEVO!AV21-ANTIGUO!AV21</f>
        <v>0</v>
      </c>
      <c r="AW21" s="146">
        <f>+NUEVO!AW21-ANTIGUO!AW21</f>
        <v>0</v>
      </c>
      <c r="AX21" s="146">
        <f>+NUEVO!AX21-ANTIGUO!AX21</f>
        <v>0</v>
      </c>
    </row>
    <row r="22" spans="1:50" ht="22.5" x14ac:dyDescent="0.25">
      <c r="A22" s="493"/>
      <c r="B22" s="107" t="s">
        <v>52</v>
      </c>
      <c r="C22" s="146">
        <f>+NUEVO!C22-ANTIGUO!C22</f>
        <v>1</v>
      </c>
      <c r="D22" s="146">
        <f>+NUEVO!D22-ANTIGUO!D22</f>
        <v>2</v>
      </c>
      <c r="E22" s="146">
        <f>+NUEVO!E22-ANTIGUO!E22</f>
        <v>-1</v>
      </c>
      <c r="F22" s="146">
        <f>+NUEVO!F22-ANTIGUO!F22</f>
        <v>0</v>
      </c>
      <c r="G22" s="146">
        <f>+NUEVO!G22-ANTIGUO!G22</f>
        <v>0</v>
      </c>
      <c r="H22" s="146">
        <f>+NUEVO!H22-ANTIGUO!H22</f>
        <v>0</v>
      </c>
      <c r="I22" s="146">
        <f>+NUEVO!I22-ANTIGUO!I22</f>
        <v>0</v>
      </c>
      <c r="J22" s="146">
        <f>+NUEVO!J22-ANTIGUO!J22</f>
        <v>0</v>
      </c>
      <c r="K22" s="146">
        <f>+NUEVO!K22-ANTIGUO!K22</f>
        <v>0</v>
      </c>
      <c r="L22" s="146">
        <f>+NUEVO!L22-ANTIGUO!L22</f>
        <v>0</v>
      </c>
      <c r="M22" s="146">
        <f>+NUEVO!M22-ANTIGUO!M22</f>
        <v>0</v>
      </c>
      <c r="N22" s="146">
        <f>+NUEVO!N22-ANTIGUO!N22</f>
        <v>1</v>
      </c>
      <c r="O22" s="146">
        <f>+NUEVO!O22-ANTIGUO!O22</f>
        <v>0</v>
      </c>
      <c r="P22" s="146">
        <f>+NUEVO!P22-ANTIGUO!P22</f>
        <v>0</v>
      </c>
      <c r="Q22" s="146">
        <f>+NUEVO!Q22-ANTIGUO!Q22</f>
        <v>0</v>
      </c>
      <c r="R22" s="146">
        <f>+NUEVO!R22-ANTIGUO!R22</f>
        <v>0</v>
      </c>
      <c r="S22" s="146">
        <f>+NUEVO!S22-ANTIGUO!S22</f>
        <v>0</v>
      </c>
      <c r="T22" s="146">
        <f>+NUEVO!T22-ANTIGUO!T22</f>
        <v>0</v>
      </c>
      <c r="U22" s="146">
        <f>+NUEVO!U22-ANTIGUO!U22</f>
        <v>-1</v>
      </c>
      <c r="V22" s="146">
        <f>+NUEVO!V22-ANTIGUO!V22</f>
        <v>0</v>
      </c>
      <c r="W22" s="146">
        <f>+NUEVO!W22-ANTIGUO!W22</f>
        <v>0</v>
      </c>
      <c r="X22" s="146">
        <f>+NUEVO!X22-ANTIGUO!X22</f>
        <v>0</v>
      </c>
      <c r="Y22" s="146">
        <f>+NUEVO!Y22-ANTIGUO!Y22</f>
        <v>0</v>
      </c>
      <c r="Z22" s="146">
        <f>+NUEVO!Z22-ANTIGUO!Z22</f>
        <v>0</v>
      </c>
      <c r="AA22" s="146">
        <f>+NUEVO!AA22-ANTIGUO!AA22</f>
        <v>0</v>
      </c>
      <c r="AB22" s="146">
        <f>+NUEVO!AB22-ANTIGUO!AB22</f>
        <v>1</v>
      </c>
      <c r="AC22" s="146">
        <f>+NUEVO!AC22-ANTIGUO!AC22</f>
        <v>0</v>
      </c>
      <c r="AD22" s="146">
        <f>+NUEVO!AD22-ANTIGUO!AD22</f>
        <v>0</v>
      </c>
      <c r="AE22" s="146">
        <f>+NUEVO!AE22-ANTIGUO!AE22</f>
        <v>0</v>
      </c>
      <c r="AF22" s="146">
        <f>+NUEVO!AF22-ANTIGUO!AF22</f>
        <v>0</v>
      </c>
      <c r="AG22" s="146">
        <f>+NUEVO!AG22-ANTIGUO!AG22</f>
        <v>0</v>
      </c>
      <c r="AH22" s="146">
        <f>+NUEVO!AH22-ANTIGUO!AH22</f>
        <v>0</v>
      </c>
      <c r="AI22" s="146">
        <f>+NUEVO!AI22-ANTIGUO!AI22</f>
        <v>0</v>
      </c>
      <c r="AJ22" s="146">
        <f>+NUEVO!AJ22-ANTIGUO!AJ22</f>
        <v>0</v>
      </c>
      <c r="AK22" s="146">
        <f>+NUEVO!AK22-ANTIGUO!AK22</f>
        <v>0</v>
      </c>
      <c r="AL22" s="146">
        <f>+NUEVO!AL22-ANTIGUO!AL22</f>
        <v>0</v>
      </c>
      <c r="AM22" s="146">
        <f>+NUEVO!AM22-ANTIGUO!AM22</f>
        <v>0</v>
      </c>
      <c r="AN22" s="146">
        <f>+NUEVO!AN22-ANTIGUO!AN22</f>
        <v>0</v>
      </c>
      <c r="AO22" s="146">
        <f>+NUEVO!AO22-ANTIGUO!AO22</f>
        <v>0</v>
      </c>
      <c r="AP22" s="146">
        <f>+NUEVO!AP22-ANTIGUO!AP22</f>
        <v>0</v>
      </c>
      <c r="AQ22" s="146">
        <f>+NUEVO!AQ22-ANTIGUO!AQ22</f>
        <v>0</v>
      </c>
      <c r="AR22" s="146">
        <f>+NUEVO!AR22-ANTIGUO!AR22</f>
        <v>0</v>
      </c>
      <c r="AS22" s="146">
        <f>+NUEVO!AS22-ANTIGUO!AS22</f>
        <v>0</v>
      </c>
      <c r="AT22" s="146">
        <f>+NUEVO!AT22-ANTIGUO!AT22</f>
        <v>0</v>
      </c>
      <c r="AU22" s="146">
        <f>+NUEVO!AU22-ANTIGUO!AU22</f>
        <v>0</v>
      </c>
      <c r="AV22" s="146">
        <f>+NUEVO!AV22-ANTIGUO!AV22</f>
        <v>0</v>
      </c>
      <c r="AW22" s="146">
        <f>+NUEVO!AW22-ANTIGUO!AW22</f>
        <v>0</v>
      </c>
      <c r="AX22" s="146">
        <f>+NUEVO!AX22-ANTIGUO!AX22</f>
        <v>0</v>
      </c>
    </row>
    <row r="23" spans="1:50" x14ac:dyDescent="0.25">
      <c r="A23" s="494"/>
      <c r="B23" s="109" t="s">
        <v>53</v>
      </c>
      <c r="C23" s="146">
        <f>+NUEVO!C23-ANTIGUO!C23</f>
        <v>3</v>
      </c>
      <c r="D23" s="146">
        <f>+NUEVO!D23-ANTIGUO!D23</f>
        <v>3</v>
      </c>
      <c r="E23" s="146">
        <f>+NUEVO!E23-ANTIGUO!E23</f>
        <v>0</v>
      </c>
      <c r="F23" s="146">
        <f>+NUEVO!F23-ANTIGUO!F23</f>
        <v>0</v>
      </c>
      <c r="G23" s="146">
        <f>+NUEVO!G23-ANTIGUO!G23</f>
        <v>0</v>
      </c>
      <c r="H23" s="146">
        <f>+NUEVO!H23-ANTIGUO!H23</f>
        <v>0</v>
      </c>
      <c r="I23" s="146">
        <f>+NUEVO!I23-ANTIGUO!I23</f>
        <v>0</v>
      </c>
      <c r="J23" s="146">
        <f>+NUEVO!J23-ANTIGUO!J23</f>
        <v>0</v>
      </c>
      <c r="K23" s="146">
        <f>+NUEVO!K23-ANTIGUO!K23</f>
        <v>0</v>
      </c>
      <c r="L23" s="146">
        <f>+NUEVO!L23-ANTIGUO!L23</f>
        <v>0</v>
      </c>
      <c r="M23" s="146">
        <f>+NUEVO!M23-ANTIGUO!M23</f>
        <v>0</v>
      </c>
      <c r="N23" s="146">
        <f>+NUEVO!N23-ANTIGUO!N23</f>
        <v>1</v>
      </c>
      <c r="O23" s="146">
        <f>+NUEVO!O23-ANTIGUO!O23</f>
        <v>0</v>
      </c>
      <c r="P23" s="146">
        <f>+NUEVO!P23-ANTIGUO!P23</f>
        <v>1</v>
      </c>
      <c r="Q23" s="146">
        <f>+NUEVO!Q23-ANTIGUO!Q23</f>
        <v>0</v>
      </c>
      <c r="R23" s="146">
        <f>+NUEVO!R23-ANTIGUO!R23</f>
        <v>0</v>
      </c>
      <c r="S23" s="146">
        <f>+NUEVO!S23-ANTIGUO!S23</f>
        <v>0</v>
      </c>
      <c r="T23" s="146">
        <f>+NUEVO!T23-ANTIGUO!T23</f>
        <v>0</v>
      </c>
      <c r="U23" s="146">
        <f>+NUEVO!U23-ANTIGUO!U23</f>
        <v>0</v>
      </c>
      <c r="V23" s="146">
        <f>+NUEVO!V23-ANTIGUO!V23</f>
        <v>0</v>
      </c>
      <c r="W23" s="146">
        <f>+NUEVO!W23-ANTIGUO!W23</f>
        <v>0</v>
      </c>
      <c r="X23" s="146">
        <f>+NUEVO!X23-ANTIGUO!X23</f>
        <v>0</v>
      </c>
      <c r="Y23" s="146">
        <f>+NUEVO!Y23-ANTIGUO!Y23</f>
        <v>0</v>
      </c>
      <c r="Z23" s="146">
        <f>+NUEVO!Z23-ANTIGUO!Z23</f>
        <v>0</v>
      </c>
      <c r="AA23" s="146">
        <f>+NUEVO!AA23-ANTIGUO!AA23</f>
        <v>0</v>
      </c>
      <c r="AB23" s="146">
        <f>+NUEVO!AB23-ANTIGUO!AB23</f>
        <v>1</v>
      </c>
      <c r="AC23" s="146">
        <f>+NUEVO!AC23-ANTIGUO!AC23</f>
        <v>0</v>
      </c>
      <c r="AD23" s="146">
        <f>+NUEVO!AD23-ANTIGUO!AD23</f>
        <v>0</v>
      </c>
      <c r="AE23" s="146">
        <f>+NUEVO!AE23-ANTIGUO!AE23</f>
        <v>0</v>
      </c>
      <c r="AF23" s="146">
        <f>+NUEVO!AF23-ANTIGUO!AF23</f>
        <v>0</v>
      </c>
      <c r="AG23" s="146">
        <f>+NUEVO!AG23-ANTIGUO!AG23</f>
        <v>0</v>
      </c>
      <c r="AH23" s="146">
        <f>+NUEVO!AH23-ANTIGUO!AH23</f>
        <v>0</v>
      </c>
      <c r="AI23" s="146">
        <f>+NUEVO!AI23-ANTIGUO!AI23</f>
        <v>0</v>
      </c>
      <c r="AJ23" s="146">
        <f>+NUEVO!AJ23-ANTIGUO!AJ23</f>
        <v>0</v>
      </c>
      <c r="AK23" s="146">
        <f>+NUEVO!AK23-ANTIGUO!AK23</f>
        <v>0</v>
      </c>
      <c r="AL23" s="146">
        <f>+NUEVO!AL23-ANTIGUO!AL23</f>
        <v>0</v>
      </c>
      <c r="AM23" s="146">
        <f>+NUEVO!AM23-ANTIGUO!AM23</f>
        <v>0</v>
      </c>
      <c r="AN23" s="146">
        <f>+NUEVO!AN23-ANTIGUO!AN23</f>
        <v>0</v>
      </c>
      <c r="AO23" s="146">
        <f>+NUEVO!AO23-ANTIGUO!AO23</f>
        <v>0</v>
      </c>
      <c r="AP23" s="146">
        <f>+NUEVO!AP23-ANTIGUO!AP23</f>
        <v>2</v>
      </c>
      <c r="AQ23" s="146">
        <f>+NUEVO!AQ23-ANTIGUO!AQ23</f>
        <v>0</v>
      </c>
      <c r="AR23" s="146">
        <f>+NUEVO!AR23-ANTIGUO!AR23</f>
        <v>0</v>
      </c>
      <c r="AS23" s="146">
        <f>+NUEVO!AS23-ANTIGUO!AS23</f>
        <v>0</v>
      </c>
      <c r="AT23" s="146">
        <f>+NUEVO!AT23-ANTIGUO!AT23</f>
        <v>0</v>
      </c>
      <c r="AU23" s="146">
        <f>+NUEVO!AU23-ANTIGUO!AU23</f>
        <v>0</v>
      </c>
      <c r="AV23" s="146">
        <f>+NUEVO!AV23-ANTIGUO!AV23</f>
        <v>0</v>
      </c>
      <c r="AW23" s="146">
        <f>+NUEVO!AW23-ANTIGUO!AW23</f>
        <v>0</v>
      </c>
      <c r="AX23" s="146">
        <f>+NUEVO!AX23-ANTIGUO!AX23</f>
        <v>0</v>
      </c>
    </row>
    <row r="24" spans="1:50" x14ac:dyDescent="0.25">
      <c r="A24" s="494"/>
      <c r="B24" s="109" t="s">
        <v>54</v>
      </c>
      <c r="C24" s="146">
        <f>+NUEVO!C24-ANTIGUO!C24</f>
        <v>2</v>
      </c>
      <c r="D24" s="146">
        <f>+NUEVO!D24-ANTIGUO!D24</f>
        <v>1</v>
      </c>
      <c r="E24" s="146">
        <f>+NUEVO!E24-ANTIGUO!E24</f>
        <v>1</v>
      </c>
      <c r="F24" s="146">
        <f>+NUEVO!F24-ANTIGUO!F24</f>
        <v>0</v>
      </c>
      <c r="G24" s="146">
        <f>+NUEVO!G24-ANTIGUO!G24</f>
        <v>0</v>
      </c>
      <c r="H24" s="146">
        <f>+NUEVO!H24-ANTIGUO!H24</f>
        <v>0</v>
      </c>
      <c r="I24" s="146">
        <f>+NUEVO!I24-ANTIGUO!I24</f>
        <v>0</v>
      </c>
      <c r="J24" s="146">
        <f>+NUEVO!J24-ANTIGUO!J24</f>
        <v>0</v>
      </c>
      <c r="K24" s="146">
        <f>+NUEVO!K24-ANTIGUO!K24</f>
        <v>0</v>
      </c>
      <c r="L24" s="146">
        <f>+NUEVO!L24-ANTIGUO!L24</f>
        <v>0</v>
      </c>
      <c r="M24" s="146">
        <f>+NUEVO!M24-ANTIGUO!M24</f>
        <v>0</v>
      </c>
      <c r="N24" s="146">
        <f>+NUEVO!N24-ANTIGUO!N24</f>
        <v>1</v>
      </c>
      <c r="O24" s="146">
        <f>+NUEVO!O24-ANTIGUO!O24</f>
        <v>0</v>
      </c>
      <c r="P24" s="146">
        <f>+NUEVO!P24-ANTIGUO!P24</f>
        <v>0</v>
      </c>
      <c r="Q24" s="146">
        <f>+NUEVO!Q24-ANTIGUO!Q24</f>
        <v>0</v>
      </c>
      <c r="R24" s="146">
        <f>+NUEVO!R24-ANTIGUO!R24</f>
        <v>0</v>
      </c>
      <c r="S24" s="146">
        <f>+NUEVO!S24-ANTIGUO!S24</f>
        <v>1</v>
      </c>
      <c r="T24" s="146">
        <f>+NUEVO!T24-ANTIGUO!T24</f>
        <v>0</v>
      </c>
      <c r="U24" s="146">
        <f>+NUEVO!U24-ANTIGUO!U24</f>
        <v>0</v>
      </c>
      <c r="V24" s="146">
        <f>+NUEVO!V24-ANTIGUO!V24</f>
        <v>1</v>
      </c>
      <c r="W24" s="146">
        <f>+NUEVO!W24-ANTIGUO!W24</f>
        <v>0</v>
      </c>
      <c r="X24" s="146">
        <f>+NUEVO!X24-ANTIGUO!X24</f>
        <v>0</v>
      </c>
      <c r="Y24" s="146">
        <f>+NUEVO!Y24-ANTIGUO!Y24</f>
        <v>0</v>
      </c>
      <c r="Z24" s="146">
        <f>+NUEVO!Z24-ANTIGUO!Z24</f>
        <v>-1</v>
      </c>
      <c r="AA24" s="146">
        <f>+NUEVO!AA24-ANTIGUO!AA24</f>
        <v>0</v>
      </c>
      <c r="AB24" s="146">
        <f>+NUEVO!AB24-ANTIGUO!AB24</f>
        <v>0</v>
      </c>
      <c r="AC24" s="146">
        <f>+NUEVO!AC24-ANTIGUO!AC24</f>
        <v>0</v>
      </c>
      <c r="AD24" s="146">
        <f>+NUEVO!AD24-ANTIGUO!AD24</f>
        <v>0</v>
      </c>
      <c r="AE24" s="146">
        <f>+NUEVO!AE24-ANTIGUO!AE24</f>
        <v>0</v>
      </c>
      <c r="AF24" s="146">
        <f>+NUEVO!AF24-ANTIGUO!AF24</f>
        <v>0</v>
      </c>
      <c r="AG24" s="146">
        <f>+NUEVO!AG24-ANTIGUO!AG24</f>
        <v>0</v>
      </c>
      <c r="AH24" s="146">
        <f>+NUEVO!AH24-ANTIGUO!AH24</f>
        <v>0</v>
      </c>
      <c r="AI24" s="146">
        <f>+NUEVO!AI24-ANTIGUO!AI24</f>
        <v>0</v>
      </c>
      <c r="AJ24" s="146">
        <f>+NUEVO!AJ24-ANTIGUO!AJ24</f>
        <v>0</v>
      </c>
      <c r="AK24" s="146">
        <f>+NUEVO!AK24-ANTIGUO!AK24</f>
        <v>0</v>
      </c>
      <c r="AL24" s="146">
        <f>+NUEVO!AL24-ANTIGUO!AL24</f>
        <v>0</v>
      </c>
      <c r="AM24" s="146">
        <f>+NUEVO!AM24-ANTIGUO!AM24</f>
        <v>0</v>
      </c>
      <c r="AN24" s="146">
        <f>+NUEVO!AN24-ANTIGUO!AN24</f>
        <v>0</v>
      </c>
      <c r="AO24" s="146">
        <f>+NUEVO!AO24-ANTIGUO!AO24</f>
        <v>0</v>
      </c>
      <c r="AP24" s="146">
        <f>+NUEVO!AP24-ANTIGUO!AP24</f>
        <v>-1</v>
      </c>
      <c r="AQ24" s="146">
        <f>+NUEVO!AQ24-ANTIGUO!AQ24</f>
        <v>0</v>
      </c>
      <c r="AR24" s="146">
        <f>+NUEVO!AR24-ANTIGUO!AR24</f>
        <v>0</v>
      </c>
      <c r="AS24" s="146">
        <f>+NUEVO!AS24-ANTIGUO!AS24</f>
        <v>0</v>
      </c>
      <c r="AT24" s="146">
        <f>+NUEVO!AT24-ANTIGUO!AT24</f>
        <v>0</v>
      </c>
      <c r="AU24" s="146">
        <f>+NUEVO!AU24-ANTIGUO!AU24</f>
        <v>0</v>
      </c>
      <c r="AV24" s="146">
        <f>+NUEVO!AV24-ANTIGUO!AV24</f>
        <v>0</v>
      </c>
      <c r="AW24" s="146">
        <f>+NUEVO!AW24-ANTIGUO!AW24</f>
        <v>0</v>
      </c>
      <c r="AX24" s="146">
        <f>+NUEVO!AX24-ANTIGUO!AX24</f>
        <v>0</v>
      </c>
    </row>
    <row r="25" spans="1:50" x14ac:dyDescent="0.25">
      <c r="A25" s="492"/>
      <c r="B25" s="110" t="s">
        <v>55</v>
      </c>
      <c r="C25" s="146">
        <f>+NUEVO!C25-ANTIGUO!C25</f>
        <v>-1</v>
      </c>
      <c r="D25" s="146">
        <f>+NUEVO!D25-ANTIGUO!D25</f>
        <v>-1</v>
      </c>
      <c r="E25" s="146">
        <f>+NUEVO!E25-ANTIGUO!E25</f>
        <v>0</v>
      </c>
      <c r="F25" s="146">
        <f>+NUEVO!F25-ANTIGUO!F25</f>
        <v>0</v>
      </c>
      <c r="G25" s="146">
        <f>+NUEVO!G25-ANTIGUO!G25</f>
        <v>0</v>
      </c>
      <c r="H25" s="146">
        <f>+NUEVO!H25-ANTIGUO!H25</f>
        <v>0</v>
      </c>
      <c r="I25" s="146">
        <f>+NUEVO!I25-ANTIGUO!I25</f>
        <v>0</v>
      </c>
      <c r="J25" s="146">
        <f>+NUEVO!J25-ANTIGUO!J25</f>
        <v>0</v>
      </c>
      <c r="K25" s="146">
        <f>+NUEVO!K25-ANTIGUO!K25</f>
        <v>0</v>
      </c>
      <c r="L25" s="146">
        <f>+NUEVO!L25-ANTIGUO!L25</f>
        <v>0</v>
      </c>
      <c r="M25" s="146">
        <f>+NUEVO!M25-ANTIGUO!M25</f>
        <v>0</v>
      </c>
      <c r="N25" s="146">
        <f>+NUEVO!N25-ANTIGUO!N25</f>
        <v>1</v>
      </c>
      <c r="O25" s="146">
        <f>+NUEVO!O25-ANTIGUO!O25</f>
        <v>0</v>
      </c>
      <c r="P25" s="146">
        <f>+NUEVO!P25-ANTIGUO!P25</f>
        <v>0</v>
      </c>
      <c r="Q25" s="146">
        <f>+NUEVO!Q25-ANTIGUO!Q25</f>
        <v>0</v>
      </c>
      <c r="R25" s="146">
        <f>+NUEVO!R25-ANTIGUO!R25</f>
        <v>0</v>
      </c>
      <c r="S25" s="146">
        <f>+NUEVO!S25-ANTIGUO!S25</f>
        <v>0</v>
      </c>
      <c r="T25" s="146">
        <f>+NUEVO!T25-ANTIGUO!T25</f>
        <v>0</v>
      </c>
      <c r="U25" s="146">
        <f>+NUEVO!U25-ANTIGUO!U25</f>
        <v>-1</v>
      </c>
      <c r="V25" s="146">
        <f>+NUEVO!V25-ANTIGUO!V25</f>
        <v>0</v>
      </c>
      <c r="W25" s="146">
        <f>+NUEVO!W25-ANTIGUO!W25</f>
        <v>0</v>
      </c>
      <c r="X25" s="146">
        <f>+NUEVO!X25-ANTIGUO!X25</f>
        <v>-1</v>
      </c>
      <c r="Y25" s="146">
        <f>+NUEVO!Y25-ANTIGUO!Y25</f>
        <v>0</v>
      </c>
      <c r="Z25" s="146">
        <f>+NUEVO!Z25-ANTIGUO!Z25</f>
        <v>-1</v>
      </c>
      <c r="AA25" s="146">
        <f>+NUEVO!AA25-ANTIGUO!AA25</f>
        <v>1</v>
      </c>
      <c r="AB25" s="146">
        <f>+NUEVO!AB25-ANTIGUO!AB25</f>
        <v>0</v>
      </c>
      <c r="AC25" s="146">
        <f>+NUEVO!AC25-ANTIGUO!AC25</f>
        <v>0</v>
      </c>
      <c r="AD25" s="146">
        <f>+NUEVO!AD25-ANTIGUO!AD25</f>
        <v>0</v>
      </c>
      <c r="AE25" s="146">
        <f>+NUEVO!AE25-ANTIGUO!AE25</f>
        <v>0</v>
      </c>
      <c r="AF25" s="146">
        <f>+NUEVO!AF25-ANTIGUO!AF25</f>
        <v>0</v>
      </c>
      <c r="AG25" s="146">
        <f>+NUEVO!AG25-ANTIGUO!AG25</f>
        <v>0</v>
      </c>
      <c r="AH25" s="146">
        <f>+NUEVO!AH25-ANTIGUO!AH25</f>
        <v>0</v>
      </c>
      <c r="AI25" s="146">
        <f>+NUEVO!AI25-ANTIGUO!AI25</f>
        <v>0</v>
      </c>
      <c r="AJ25" s="146">
        <f>+NUEVO!AJ25-ANTIGUO!AJ25</f>
        <v>0</v>
      </c>
      <c r="AK25" s="146">
        <f>+NUEVO!AK25-ANTIGUO!AK25</f>
        <v>0</v>
      </c>
      <c r="AL25" s="146">
        <f>+NUEVO!AL25-ANTIGUO!AL25</f>
        <v>0</v>
      </c>
      <c r="AM25" s="146">
        <f>+NUEVO!AM25-ANTIGUO!AM25</f>
        <v>0</v>
      </c>
      <c r="AN25" s="146">
        <f>+NUEVO!AN25-ANTIGUO!AN25</f>
        <v>0</v>
      </c>
      <c r="AO25" s="146">
        <f>+NUEVO!AO25-ANTIGUO!AO25</f>
        <v>0</v>
      </c>
      <c r="AP25" s="146">
        <f>+NUEVO!AP25-ANTIGUO!AP25</f>
        <v>0</v>
      </c>
      <c r="AQ25" s="146">
        <f>+NUEVO!AQ25-ANTIGUO!AQ25</f>
        <v>0</v>
      </c>
      <c r="AR25" s="146">
        <f>+NUEVO!AR25-ANTIGUO!AR25</f>
        <v>0</v>
      </c>
      <c r="AS25" s="146">
        <f>+NUEVO!AS25-ANTIGUO!AS25</f>
        <v>0</v>
      </c>
      <c r="AT25" s="146">
        <f>+NUEVO!AT25-ANTIGUO!AT25</f>
        <v>0</v>
      </c>
      <c r="AU25" s="146">
        <f>+NUEVO!AU25-ANTIGUO!AU25</f>
        <v>0</v>
      </c>
      <c r="AV25" s="146">
        <f>+NUEVO!AV25-ANTIGUO!AV25</f>
        <v>0</v>
      </c>
      <c r="AW25" s="146">
        <f>+NUEVO!AW25-ANTIGUO!AW25</f>
        <v>0</v>
      </c>
      <c r="AX25" s="146">
        <f>+NUEVO!AX25-ANTIGUO!AX25</f>
        <v>0</v>
      </c>
    </row>
    <row r="26" spans="1:50" x14ac:dyDescent="0.25">
      <c r="A26" s="495" t="s">
        <v>56</v>
      </c>
      <c r="B26" s="111" t="s">
        <v>57</v>
      </c>
      <c r="C26" s="146">
        <f>+NUEVO!C26-ANTIGUO!C26</f>
        <v>7</v>
      </c>
      <c r="D26" s="146">
        <f>+NUEVO!D26-ANTIGUO!D26</f>
        <v>3</v>
      </c>
      <c r="E26" s="146">
        <f>+NUEVO!E26-ANTIGUO!E26</f>
        <v>4</v>
      </c>
      <c r="F26" s="146">
        <f>+NUEVO!F26-ANTIGUO!F26</f>
        <v>0</v>
      </c>
      <c r="G26" s="146">
        <f>+NUEVO!G26-ANTIGUO!G26</f>
        <v>0</v>
      </c>
      <c r="H26" s="146">
        <f>+NUEVO!H26-ANTIGUO!H26</f>
        <v>2</v>
      </c>
      <c r="I26" s="146">
        <f>+NUEVO!I26-ANTIGUO!I26</f>
        <v>0</v>
      </c>
      <c r="J26" s="146">
        <f>+NUEVO!J26-ANTIGUO!J26</f>
        <v>0</v>
      </c>
      <c r="K26" s="146">
        <f>+NUEVO!K26-ANTIGUO!K26</f>
        <v>1</v>
      </c>
      <c r="L26" s="146">
        <f>+NUEVO!L26-ANTIGUO!L26</f>
        <v>-1</v>
      </c>
      <c r="M26" s="146">
        <f>+NUEVO!M26-ANTIGUO!M26</f>
        <v>1</v>
      </c>
      <c r="N26" s="146">
        <f>+NUEVO!N26-ANTIGUO!N26</f>
        <v>0</v>
      </c>
      <c r="O26" s="146">
        <f>+NUEVO!O26-ANTIGUO!O26</f>
        <v>0</v>
      </c>
      <c r="P26" s="146">
        <f>+NUEVO!P26-ANTIGUO!P26</f>
        <v>0</v>
      </c>
      <c r="Q26" s="146">
        <f>+NUEVO!Q26-ANTIGUO!Q26</f>
        <v>2</v>
      </c>
      <c r="R26" s="146">
        <f>+NUEVO!R26-ANTIGUO!R26</f>
        <v>1</v>
      </c>
      <c r="S26" s="146">
        <f>+NUEVO!S26-ANTIGUO!S26</f>
        <v>-1</v>
      </c>
      <c r="T26" s="146">
        <f>+NUEVO!T26-ANTIGUO!T26</f>
        <v>1</v>
      </c>
      <c r="U26" s="146">
        <f>+NUEVO!U26-ANTIGUO!U26</f>
        <v>0</v>
      </c>
      <c r="V26" s="146">
        <f>+NUEVO!V26-ANTIGUO!V26</f>
        <v>0</v>
      </c>
      <c r="W26" s="146">
        <f>+NUEVO!W26-ANTIGUO!W26</f>
        <v>0</v>
      </c>
      <c r="X26" s="146">
        <f>+NUEVO!X26-ANTIGUO!X26</f>
        <v>0</v>
      </c>
      <c r="Y26" s="146">
        <f>+NUEVO!Y26-ANTIGUO!Y26</f>
        <v>1</v>
      </c>
      <c r="Z26" s="146">
        <f>+NUEVO!Z26-ANTIGUO!Z26</f>
        <v>0</v>
      </c>
      <c r="AA26" s="146">
        <f>+NUEVO!AA26-ANTIGUO!AA26</f>
        <v>0</v>
      </c>
      <c r="AB26" s="146">
        <f>+NUEVO!AB26-ANTIGUO!AB26</f>
        <v>0</v>
      </c>
      <c r="AC26" s="146">
        <f>+NUEVO!AC26-ANTIGUO!AC26</f>
        <v>0</v>
      </c>
      <c r="AD26" s="146">
        <f>+NUEVO!AD26-ANTIGUO!AD26</f>
        <v>0</v>
      </c>
      <c r="AE26" s="146">
        <f>+NUEVO!AE26-ANTIGUO!AE26</f>
        <v>0</v>
      </c>
      <c r="AF26" s="146">
        <f>+NUEVO!AF26-ANTIGUO!AF26</f>
        <v>0</v>
      </c>
      <c r="AG26" s="146">
        <f>+NUEVO!AG26-ANTIGUO!AG26</f>
        <v>0</v>
      </c>
      <c r="AH26" s="146">
        <f>+NUEVO!AH26-ANTIGUO!AH26</f>
        <v>0</v>
      </c>
      <c r="AI26" s="146">
        <f>+NUEVO!AI26-ANTIGUO!AI26</f>
        <v>0</v>
      </c>
      <c r="AJ26" s="146">
        <f>+NUEVO!AJ26-ANTIGUO!AJ26</f>
        <v>0</v>
      </c>
      <c r="AK26" s="146">
        <f>+NUEVO!AK26-ANTIGUO!AK26</f>
        <v>0</v>
      </c>
      <c r="AL26" s="146">
        <f>+NUEVO!AL26-ANTIGUO!AL26</f>
        <v>0</v>
      </c>
      <c r="AM26" s="146">
        <f>+NUEVO!AM26-ANTIGUO!AM26</f>
        <v>0</v>
      </c>
      <c r="AN26" s="146">
        <f>+NUEVO!AN26-ANTIGUO!AN26</f>
        <v>0</v>
      </c>
      <c r="AO26" s="146">
        <f>+NUEVO!AO26-ANTIGUO!AO26</f>
        <v>0</v>
      </c>
      <c r="AP26" s="146">
        <f>+NUEVO!AP26-ANTIGUO!AP26</f>
        <v>0</v>
      </c>
      <c r="AQ26" s="146">
        <f>+NUEVO!AQ26-ANTIGUO!AQ26</f>
        <v>0</v>
      </c>
      <c r="AR26" s="146">
        <f>+NUEVO!AR26-ANTIGUO!AR26</f>
        <v>0</v>
      </c>
      <c r="AS26" s="146">
        <f>+NUEVO!AS26-ANTIGUO!AS26</f>
        <v>0</v>
      </c>
      <c r="AT26" s="146">
        <f>+NUEVO!AT26-ANTIGUO!AT26</f>
        <v>-1</v>
      </c>
      <c r="AU26" s="146">
        <f>+NUEVO!AU26-ANTIGUO!AU26</f>
        <v>1</v>
      </c>
      <c r="AV26" s="146">
        <f>+NUEVO!AV26-ANTIGUO!AV26</f>
        <v>0</v>
      </c>
      <c r="AW26" s="146">
        <f>+NUEVO!AW26-ANTIGUO!AW26</f>
        <v>0</v>
      </c>
      <c r="AX26" s="146">
        <f>+NUEVO!AX26-ANTIGUO!AX26</f>
        <v>0</v>
      </c>
    </row>
    <row r="27" spans="1:50" ht="21" x14ac:dyDescent="0.25">
      <c r="A27" s="496"/>
      <c r="B27" s="113" t="s">
        <v>58</v>
      </c>
      <c r="C27" s="146">
        <f>+NUEVO!C27-ANTIGUO!C27</f>
        <v>1</v>
      </c>
      <c r="D27" s="146">
        <f>+NUEVO!D27-ANTIGUO!D27</f>
        <v>0</v>
      </c>
      <c r="E27" s="146">
        <f>+NUEVO!E27-ANTIGUO!E27</f>
        <v>1</v>
      </c>
      <c r="F27" s="146">
        <f>+NUEVO!F27-ANTIGUO!F27</f>
        <v>0</v>
      </c>
      <c r="G27" s="146">
        <f>+NUEVO!G27-ANTIGUO!G27</f>
        <v>0</v>
      </c>
      <c r="H27" s="146">
        <f>+NUEVO!H27-ANTIGUO!H27</f>
        <v>0</v>
      </c>
      <c r="I27" s="146">
        <f>+NUEVO!I27-ANTIGUO!I27</f>
        <v>0</v>
      </c>
      <c r="J27" s="146">
        <f>+NUEVO!J27-ANTIGUO!J27</f>
        <v>0</v>
      </c>
      <c r="K27" s="146">
        <f>+NUEVO!K27-ANTIGUO!K27</f>
        <v>1</v>
      </c>
      <c r="L27" s="146">
        <f>+NUEVO!L27-ANTIGUO!L27</f>
        <v>0</v>
      </c>
      <c r="M27" s="146">
        <f>+NUEVO!M27-ANTIGUO!M27</f>
        <v>0</v>
      </c>
      <c r="N27" s="146">
        <f>+NUEVO!N27-ANTIGUO!N27</f>
        <v>0</v>
      </c>
      <c r="O27" s="146">
        <f>+NUEVO!O27-ANTIGUO!O27</f>
        <v>0</v>
      </c>
      <c r="P27" s="146">
        <f>+NUEVO!P27-ANTIGUO!P27</f>
        <v>0</v>
      </c>
      <c r="Q27" s="146">
        <f>+NUEVO!Q27-ANTIGUO!Q27</f>
        <v>0</v>
      </c>
      <c r="R27" s="146">
        <f>+NUEVO!R27-ANTIGUO!R27</f>
        <v>0</v>
      </c>
      <c r="S27" s="146">
        <f>+NUEVO!S27-ANTIGUO!S27</f>
        <v>0</v>
      </c>
      <c r="T27" s="146">
        <f>+NUEVO!T27-ANTIGUO!T27</f>
        <v>0</v>
      </c>
      <c r="U27" s="146">
        <f>+NUEVO!U27-ANTIGUO!U27</f>
        <v>0</v>
      </c>
      <c r="V27" s="146">
        <f>+NUEVO!V27-ANTIGUO!V27</f>
        <v>0</v>
      </c>
      <c r="W27" s="146">
        <f>+NUEVO!W27-ANTIGUO!W27</f>
        <v>0</v>
      </c>
      <c r="X27" s="146">
        <f>+NUEVO!X27-ANTIGUO!X27</f>
        <v>0</v>
      </c>
      <c r="Y27" s="146">
        <f>+NUEVO!Y27-ANTIGUO!Y27</f>
        <v>0</v>
      </c>
      <c r="Z27" s="146">
        <f>+NUEVO!Z27-ANTIGUO!Z27</f>
        <v>0</v>
      </c>
      <c r="AA27" s="146">
        <f>+NUEVO!AA27-ANTIGUO!AA27</f>
        <v>0</v>
      </c>
      <c r="AB27" s="146">
        <f>+NUEVO!AB27-ANTIGUO!AB27</f>
        <v>0</v>
      </c>
      <c r="AC27" s="146">
        <f>+NUEVO!AC27-ANTIGUO!AC27</f>
        <v>0</v>
      </c>
      <c r="AD27" s="146">
        <f>+NUEVO!AD27-ANTIGUO!AD27</f>
        <v>0</v>
      </c>
      <c r="AE27" s="146">
        <f>+NUEVO!AE27-ANTIGUO!AE27</f>
        <v>0</v>
      </c>
      <c r="AF27" s="146">
        <f>+NUEVO!AF27-ANTIGUO!AF27</f>
        <v>0</v>
      </c>
      <c r="AG27" s="146">
        <f>+NUEVO!AG27-ANTIGUO!AG27</f>
        <v>0</v>
      </c>
      <c r="AH27" s="146">
        <f>+NUEVO!AH27-ANTIGUO!AH27</f>
        <v>0</v>
      </c>
      <c r="AI27" s="146">
        <f>+NUEVO!AI27-ANTIGUO!AI27</f>
        <v>0</v>
      </c>
      <c r="AJ27" s="146">
        <f>+NUEVO!AJ27-ANTIGUO!AJ27</f>
        <v>0</v>
      </c>
      <c r="AK27" s="146">
        <f>+NUEVO!AK27-ANTIGUO!AK27</f>
        <v>0</v>
      </c>
      <c r="AL27" s="146">
        <f>+NUEVO!AL27-ANTIGUO!AL27</f>
        <v>0</v>
      </c>
      <c r="AM27" s="146">
        <f>+NUEVO!AM27-ANTIGUO!AM27</f>
        <v>0</v>
      </c>
      <c r="AN27" s="146">
        <f>+NUEVO!AN27-ANTIGUO!AN27</f>
        <v>0</v>
      </c>
      <c r="AO27" s="146">
        <f>+NUEVO!AO27-ANTIGUO!AO27</f>
        <v>0</v>
      </c>
      <c r="AP27" s="146">
        <f>+NUEVO!AP27-ANTIGUO!AP27</f>
        <v>0</v>
      </c>
      <c r="AQ27" s="146">
        <f>+NUEVO!AQ27-ANTIGUO!AQ27</f>
        <v>0</v>
      </c>
      <c r="AR27" s="146">
        <f>+NUEVO!AR27-ANTIGUO!AR27</f>
        <v>0</v>
      </c>
      <c r="AS27" s="146">
        <f>+NUEVO!AS27-ANTIGUO!AS27</f>
        <v>0</v>
      </c>
      <c r="AT27" s="146">
        <f>+NUEVO!AT27-ANTIGUO!AT27</f>
        <v>0</v>
      </c>
      <c r="AU27" s="146">
        <f>+NUEVO!AU27-ANTIGUO!AU27</f>
        <v>0</v>
      </c>
      <c r="AV27" s="146">
        <f>+NUEVO!AV27-ANTIGUO!AV27</f>
        <v>0</v>
      </c>
      <c r="AW27" s="146">
        <f>+NUEVO!AW27-ANTIGUO!AW27</f>
        <v>0</v>
      </c>
      <c r="AX27" s="146">
        <f>+NUEVO!AX27-ANTIGUO!AX27</f>
        <v>0</v>
      </c>
    </row>
    <row r="28" spans="1:50" ht="21" x14ac:dyDescent="0.25">
      <c r="A28" s="496"/>
      <c r="B28" s="113" t="s">
        <v>59</v>
      </c>
      <c r="C28" s="146">
        <f>+NUEVO!C28-ANTIGUO!C28</f>
        <v>0</v>
      </c>
      <c r="D28" s="146">
        <f>+NUEVO!D28-ANTIGUO!D28</f>
        <v>0</v>
      </c>
      <c r="E28" s="146">
        <f>+NUEVO!E28-ANTIGUO!E28</f>
        <v>0</v>
      </c>
      <c r="F28" s="146">
        <f>+NUEVO!F28-ANTIGUO!F28</f>
        <v>0</v>
      </c>
      <c r="G28" s="146">
        <f>+NUEVO!G28-ANTIGUO!G28</f>
        <v>0</v>
      </c>
      <c r="H28" s="146">
        <f>+NUEVO!H28-ANTIGUO!H28</f>
        <v>0</v>
      </c>
      <c r="I28" s="146">
        <f>+NUEVO!I28-ANTIGUO!I28</f>
        <v>0</v>
      </c>
      <c r="J28" s="146">
        <f>+NUEVO!J28-ANTIGUO!J28</f>
        <v>0</v>
      </c>
      <c r="K28" s="146">
        <f>+NUEVO!K28-ANTIGUO!K28</f>
        <v>0</v>
      </c>
      <c r="L28" s="146">
        <f>+NUEVO!L28-ANTIGUO!L28</f>
        <v>0</v>
      </c>
      <c r="M28" s="146">
        <f>+NUEVO!M28-ANTIGUO!M28</f>
        <v>0</v>
      </c>
      <c r="N28" s="146">
        <f>+NUEVO!N28-ANTIGUO!N28</f>
        <v>0</v>
      </c>
      <c r="O28" s="146">
        <f>+NUEVO!O28-ANTIGUO!O28</f>
        <v>0</v>
      </c>
      <c r="P28" s="146">
        <f>+NUEVO!P28-ANTIGUO!P28</f>
        <v>0</v>
      </c>
      <c r="Q28" s="146">
        <f>+NUEVO!Q28-ANTIGUO!Q28</f>
        <v>0</v>
      </c>
      <c r="R28" s="146">
        <f>+NUEVO!R28-ANTIGUO!R28</f>
        <v>0</v>
      </c>
      <c r="S28" s="146">
        <f>+NUEVO!S28-ANTIGUO!S28</f>
        <v>0</v>
      </c>
      <c r="T28" s="146">
        <f>+NUEVO!T28-ANTIGUO!T28</f>
        <v>0</v>
      </c>
      <c r="U28" s="146">
        <f>+NUEVO!U28-ANTIGUO!U28</f>
        <v>0</v>
      </c>
      <c r="V28" s="146">
        <f>+NUEVO!V28-ANTIGUO!V28</f>
        <v>0</v>
      </c>
      <c r="W28" s="146">
        <f>+NUEVO!W28-ANTIGUO!W28</f>
        <v>0</v>
      </c>
      <c r="X28" s="146">
        <f>+NUEVO!X28-ANTIGUO!X28</f>
        <v>0</v>
      </c>
      <c r="Y28" s="146">
        <f>+NUEVO!Y28-ANTIGUO!Y28</f>
        <v>0</v>
      </c>
      <c r="Z28" s="146">
        <f>+NUEVO!Z28-ANTIGUO!Z28</f>
        <v>0</v>
      </c>
      <c r="AA28" s="146">
        <f>+NUEVO!AA28-ANTIGUO!AA28</f>
        <v>0</v>
      </c>
      <c r="AB28" s="146">
        <f>+NUEVO!AB28-ANTIGUO!AB28</f>
        <v>0</v>
      </c>
      <c r="AC28" s="146">
        <f>+NUEVO!AC28-ANTIGUO!AC28</f>
        <v>0</v>
      </c>
      <c r="AD28" s="146">
        <f>+NUEVO!AD28-ANTIGUO!AD28</f>
        <v>0</v>
      </c>
      <c r="AE28" s="146">
        <f>+NUEVO!AE28-ANTIGUO!AE28</f>
        <v>0</v>
      </c>
      <c r="AF28" s="146">
        <f>+NUEVO!AF28-ANTIGUO!AF28</f>
        <v>0</v>
      </c>
      <c r="AG28" s="146">
        <f>+NUEVO!AG28-ANTIGUO!AG28</f>
        <v>0</v>
      </c>
      <c r="AH28" s="146">
        <f>+NUEVO!AH28-ANTIGUO!AH28</f>
        <v>0</v>
      </c>
      <c r="AI28" s="146">
        <f>+NUEVO!AI28-ANTIGUO!AI28</f>
        <v>0</v>
      </c>
      <c r="AJ28" s="146">
        <f>+NUEVO!AJ28-ANTIGUO!AJ28</f>
        <v>0</v>
      </c>
      <c r="AK28" s="146">
        <f>+NUEVO!AK28-ANTIGUO!AK28</f>
        <v>0</v>
      </c>
      <c r="AL28" s="146">
        <f>+NUEVO!AL28-ANTIGUO!AL28</f>
        <v>0</v>
      </c>
      <c r="AM28" s="146">
        <f>+NUEVO!AM28-ANTIGUO!AM28</f>
        <v>0</v>
      </c>
      <c r="AN28" s="146">
        <f>+NUEVO!AN28-ANTIGUO!AN28</f>
        <v>0</v>
      </c>
      <c r="AO28" s="146">
        <f>+NUEVO!AO28-ANTIGUO!AO28</f>
        <v>0</v>
      </c>
      <c r="AP28" s="146">
        <f>+NUEVO!AP28-ANTIGUO!AP28</f>
        <v>0</v>
      </c>
      <c r="AQ28" s="146">
        <f>+NUEVO!AQ28-ANTIGUO!AQ28</f>
        <v>0</v>
      </c>
      <c r="AR28" s="146">
        <f>+NUEVO!AR28-ANTIGUO!AR28</f>
        <v>0</v>
      </c>
      <c r="AS28" s="146">
        <f>+NUEVO!AS28-ANTIGUO!AS28</f>
        <v>0</v>
      </c>
      <c r="AT28" s="146">
        <f>+NUEVO!AT28-ANTIGUO!AT28</f>
        <v>0</v>
      </c>
      <c r="AU28" s="146">
        <f>+NUEVO!AU28-ANTIGUO!AU28</f>
        <v>0</v>
      </c>
      <c r="AV28" s="146">
        <f>+NUEVO!AV28-ANTIGUO!AV28</f>
        <v>0</v>
      </c>
      <c r="AW28" s="146">
        <f>+NUEVO!AW28-ANTIGUO!AW28</f>
        <v>0</v>
      </c>
      <c r="AX28" s="146">
        <f>+NUEVO!AX28-ANTIGUO!AX28</f>
        <v>0</v>
      </c>
    </row>
    <row r="29" spans="1:50" ht="42" x14ac:dyDescent="0.25">
      <c r="A29" s="497"/>
      <c r="B29" s="115" t="s">
        <v>60</v>
      </c>
      <c r="C29" s="146">
        <f>+NUEVO!C29-ANTIGUO!C29</f>
        <v>1</v>
      </c>
      <c r="D29" s="146">
        <f>+NUEVO!D29-ANTIGUO!D29</f>
        <v>-1</v>
      </c>
      <c r="E29" s="146">
        <f>+NUEVO!E29-ANTIGUO!E29</f>
        <v>2</v>
      </c>
      <c r="F29" s="146">
        <f>+NUEVO!F29-ANTIGUO!F29</f>
        <v>0</v>
      </c>
      <c r="G29" s="146">
        <f>+NUEVO!G29-ANTIGUO!G29</f>
        <v>0</v>
      </c>
      <c r="H29" s="146">
        <f>+NUEVO!H29-ANTIGUO!H29</f>
        <v>0</v>
      </c>
      <c r="I29" s="146">
        <f>+NUEVO!I29-ANTIGUO!I29</f>
        <v>0</v>
      </c>
      <c r="J29" s="146">
        <f>+NUEVO!J29-ANTIGUO!J29</f>
        <v>0</v>
      </c>
      <c r="K29" s="146">
        <f>+NUEVO!K29-ANTIGUO!K29</f>
        <v>0</v>
      </c>
      <c r="L29" s="146">
        <f>+NUEVO!L29-ANTIGUO!L29</f>
        <v>-1</v>
      </c>
      <c r="M29" s="146">
        <f>+NUEVO!M29-ANTIGUO!M29</f>
        <v>2</v>
      </c>
      <c r="N29" s="146">
        <f>+NUEVO!N29-ANTIGUO!N29</f>
        <v>0</v>
      </c>
      <c r="O29" s="146">
        <f>+NUEVO!O29-ANTIGUO!O29</f>
        <v>0</v>
      </c>
      <c r="P29" s="146">
        <f>+NUEVO!P29-ANTIGUO!P29</f>
        <v>0</v>
      </c>
      <c r="Q29" s="146">
        <f>+NUEVO!Q29-ANTIGUO!Q29</f>
        <v>0</v>
      </c>
      <c r="R29" s="146">
        <f>+NUEVO!R29-ANTIGUO!R29</f>
        <v>0</v>
      </c>
      <c r="S29" s="146">
        <f>+NUEVO!S29-ANTIGUO!S29</f>
        <v>0</v>
      </c>
      <c r="T29" s="146">
        <f>+NUEVO!T29-ANTIGUO!T29</f>
        <v>0</v>
      </c>
      <c r="U29" s="146">
        <f>+NUEVO!U29-ANTIGUO!U29</f>
        <v>0</v>
      </c>
      <c r="V29" s="146">
        <f>+NUEVO!V29-ANTIGUO!V29</f>
        <v>0</v>
      </c>
      <c r="W29" s="146">
        <f>+NUEVO!W29-ANTIGUO!W29</f>
        <v>0</v>
      </c>
      <c r="X29" s="146">
        <f>+NUEVO!X29-ANTIGUO!X29</f>
        <v>0</v>
      </c>
      <c r="Y29" s="146">
        <f>+NUEVO!Y29-ANTIGUO!Y29</f>
        <v>0</v>
      </c>
      <c r="Z29" s="146">
        <f>+NUEVO!Z29-ANTIGUO!Z29</f>
        <v>0</v>
      </c>
      <c r="AA29" s="146">
        <f>+NUEVO!AA29-ANTIGUO!AA29</f>
        <v>0</v>
      </c>
      <c r="AB29" s="146">
        <f>+NUEVO!AB29-ANTIGUO!AB29</f>
        <v>0</v>
      </c>
      <c r="AC29" s="146">
        <f>+NUEVO!AC29-ANTIGUO!AC29</f>
        <v>0</v>
      </c>
      <c r="AD29" s="146">
        <f>+NUEVO!AD29-ANTIGUO!AD29</f>
        <v>0</v>
      </c>
      <c r="AE29" s="146">
        <f>+NUEVO!AE29-ANTIGUO!AE29</f>
        <v>0</v>
      </c>
      <c r="AF29" s="146">
        <f>+NUEVO!AF29-ANTIGUO!AF29</f>
        <v>0</v>
      </c>
      <c r="AG29" s="146">
        <f>+NUEVO!AG29-ANTIGUO!AG29</f>
        <v>0</v>
      </c>
      <c r="AH29" s="146">
        <f>+NUEVO!AH29-ANTIGUO!AH29</f>
        <v>0</v>
      </c>
      <c r="AI29" s="146">
        <f>+NUEVO!AI29-ANTIGUO!AI29</f>
        <v>0</v>
      </c>
      <c r="AJ29" s="146">
        <f>+NUEVO!AJ29-ANTIGUO!AJ29</f>
        <v>0</v>
      </c>
      <c r="AK29" s="146">
        <f>+NUEVO!AK29-ANTIGUO!AK29</f>
        <v>0</v>
      </c>
      <c r="AL29" s="146">
        <f>+NUEVO!AL29-ANTIGUO!AL29</f>
        <v>0</v>
      </c>
      <c r="AM29" s="146">
        <f>+NUEVO!AM29-ANTIGUO!AM29</f>
        <v>0</v>
      </c>
      <c r="AN29" s="146">
        <f>+NUEVO!AN29-ANTIGUO!AN29</f>
        <v>0</v>
      </c>
      <c r="AO29" s="146">
        <f>+NUEVO!AO29-ANTIGUO!AO29</f>
        <v>0</v>
      </c>
      <c r="AP29" s="146">
        <f>+NUEVO!AP29-ANTIGUO!AP29</f>
        <v>0</v>
      </c>
      <c r="AQ29" s="146">
        <f>+NUEVO!AQ29-ANTIGUO!AQ29</f>
        <v>0</v>
      </c>
      <c r="AR29" s="146">
        <f>+NUEVO!AR29-ANTIGUO!AR29</f>
        <v>0</v>
      </c>
      <c r="AS29" s="146">
        <f>+NUEVO!AS29-ANTIGUO!AS29</f>
        <v>0</v>
      </c>
      <c r="AT29" s="146">
        <f>+NUEVO!AT29-ANTIGUO!AT29</f>
        <v>0</v>
      </c>
      <c r="AU29" s="146">
        <f>+NUEVO!AU29-ANTIGUO!AU29</f>
        <v>1</v>
      </c>
      <c r="AV29" s="146">
        <f>+NUEVO!AV29-ANTIGUO!AV29</f>
        <v>0</v>
      </c>
      <c r="AW29" s="146">
        <f>+NUEVO!AW29-ANTIGUO!AW29</f>
        <v>0</v>
      </c>
      <c r="AX29" s="146">
        <f>+NUEVO!AX29-ANTIGUO!AX29</f>
        <v>0</v>
      </c>
    </row>
    <row r="30" spans="1:50" ht="21" x14ac:dyDescent="0.25">
      <c r="A30" s="474" t="s">
        <v>61</v>
      </c>
      <c r="B30" s="111" t="s">
        <v>62</v>
      </c>
      <c r="C30" s="146">
        <f>+NUEVO!C30-ANTIGUO!C30</f>
        <v>1</v>
      </c>
      <c r="D30" s="146">
        <f>+NUEVO!D30-ANTIGUO!D30</f>
        <v>1</v>
      </c>
      <c r="E30" s="146">
        <f>+NUEVO!E30-ANTIGUO!E30</f>
        <v>0</v>
      </c>
      <c r="F30" s="146">
        <f>+NUEVO!F30-ANTIGUO!F30</f>
        <v>0</v>
      </c>
      <c r="G30" s="146">
        <f>+NUEVO!G30-ANTIGUO!G30</f>
        <v>0</v>
      </c>
      <c r="H30" s="146">
        <f>+NUEVO!H30-ANTIGUO!H30</f>
        <v>0</v>
      </c>
      <c r="I30" s="146">
        <f>+NUEVO!I30-ANTIGUO!I30</f>
        <v>0</v>
      </c>
      <c r="J30" s="146">
        <f>+NUEVO!J30-ANTIGUO!J30</f>
        <v>1</v>
      </c>
      <c r="K30" s="146">
        <f>+NUEVO!K30-ANTIGUO!K30</f>
        <v>0</v>
      </c>
      <c r="L30" s="146">
        <f>+NUEVO!L30-ANTIGUO!L30</f>
        <v>0</v>
      </c>
      <c r="M30" s="146">
        <f>+NUEVO!M30-ANTIGUO!M30</f>
        <v>0</v>
      </c>
      <c r="N30" s="146">
        <f>+NUEVO!N30-ANTIGUO!N30</f>
        <v>0</v>
      </c>
      <c r="O30" s="146">
        <f>+NUEVO!O30-ANTIGUO!O30</f>
        <v>0</v>
      </c>
      <c r="P30" s="146">
        <f>+NUEVO!P30-ANTIGUO!P30</f>
        <v>0</v>
      </c>
      <c r="Q30" s="146">
        <f>+NUEVO!Q30-ANTIGUO!Q30</f>
        <v>0</v>
      </c>
      <c r="R30" s="146">
        <f>+NUEVO!R30-ANTIGUO!R30</f>
        <v>0</v>
      </c>
      <c r="S30" s="146">
        <f>+NUEVO!S30-ANTIGUO!S30</f>
        <v>0</v>
      </c>
      <c r="T30" s="146">
        <f>+NUEVO!T30-ANTIGUO!T30</f>
        <v>0</v>
      </c>
      <c r="U30" s="146">
        <f>+NUEVO!U30-ANTIGUO!U30</f>
        <v>0</v>
      </c>
      <c r="V30" s="146">
        <f>+NUEVO!V30-ANTIGUO!V30</f>
        <v>0</v>
      </c>
      <c r="W30" s="146">
        <f>+NUEVO!W30-ANTIGUO!W30</f>
        <v>0</v>
      </c>
      <c r="X30" s="146">
        <f>+NUEVO!X30-ANTIGUO!X30</f>
        <v>0</v>
      </c>
      <c r="Y30" s="146">
        <f>+NUEVO!Y30-ANTIGUO!Y30</f>
        <v>0</v>
      </c>
      <c r="Z30" s="146">
        <f>+NUEVO!Z30-ANTIGUO!Z30</f>
        <v>0</v>
      </c>
      <c r="AA30" s="146">
        <f>+NUEVO!AA30-ANTIGUO!AA30</f>
        <v>0</v>
      </c>
      <c r="AB30" s="146">
        <f>+NUEVO!AB30-ANTIGUO!AB30</f>
        <v>0</v>
      </c>
      <c r="AC30" s="146">
        <f>+NUEVO!AC30-ANTIGUO!AC30</f>
        <v>0</v>
      </c>
      <c r="AD30" s="146">
        <f>+NUEVO!AD30-ANTIGUO!AD30</f>
        <v>0</v>
      </c>
      <c r="AE30" s="146">
        <f>+NUEVO!AE30-ANTIGUO!AE30</f>
        <v>0</v>
      </c>
      <c r="AF30" s="146">
        <f>+NUEVO!AF30-ANTIGUO!AF30</f>
        <v>0</v>
      </c>
      <c r="AG30" s="146">
        <f>+NUEVO!AG30-ANTIGUO!AG30</f>
        <v>0</v>
      </c>
      <c r="AH30" s="146">
        <f>+NUEVO!AH30-ANTIGUO!AH30</f>
        <v>0</v>
      </c>
      <c r="AI30" s="146">
        <f>+NUEVO!AI30-ANTIGUO!AI30</f>
        <v>0</v>
      </c>
      <c r="AJ30" s="146">
        <f>+NUEVO!AJ30-ANTIGUO!AJ30</f>
        <v>0</v>
      </c>
      <c r="AK30" s="146">
        <f>+NUEVO!AK30-ANTIGUO!AK30</f>
        <v>0</v>
      </c>
      <c r="AL30" s="146">
        <f>+NUEVO!AL30-ANTIGUO!AL30</f>
        <v>0</v>
      </c>
      <c r="AM30" s="146">
        <f>+NUEVO!AM30-ANTIGUO!AM30</f>
        <v>0</v>
      </c>
      <c r="AN30" s="146">
        <f>+NUEVO!AN30-ANTIGUO!AN30</f>
        <v>0</v>
      </c>
      <c r="AO30" s="146">
        <f>+NUEVO!AO30-ANTIGUO!AO30</f>
        <v>0</v>
      </c>
      <c r="AP30" s="146">
        <f>+NUEVO!AP30-ANTIGUO!AP30</f>
        <v>0</v>
      </c>
      <c r="AQ30" s="146">
        <f>+NUEVO!AQ30-ANTIGUO!AQ30</f>
        <v>0</v>
      </c>
      <c r="AR30" s="146">
        <f>+NUEVO!AR30-ANTIGUO!AR30</f>
        <v>1</v>
      </c>
      <c r="AS30" s="146">
        <f>+NUEVO!AS30-ANTIGUO!AS30</f>
        <v>0</v>
      </c>
      <c r="AT30" s="146">
        <f>+NUEVO!AT30-ANTIGUO!AT30</f>
        <v>0</v>
      </c>
      <c r="AU30" s="146">
        <f>+NUEVO!AU30-ANTIGUO!AU30</f>
        <v>0</v>
      </c>
      <c r="AV30" s="146">
        <f>+NUEVO!AV30-ANTIGUO!AV30</f>
        <v>0</v>
      </c>
      <c r="AW30" s="146">
        <f>+NUEVO!AW30-ANTIGUO!AW30</f>
        <v>0</v>
      </c>
      <c r="AX30" s="146">
        <f>+NUEVO!AX30-ANTIGUO!AX30</f>
        <v>0</v>
      </c>
    </row>
    <row r="31" spans="1:50" x14ac:dyDescent="0.25">
      <c r="A31" s="475"/>
      <c r="B31" s="121" t="s">
        <v>63</v>
      </c>
      <c r="C31" s="146">
        <f>+NUEVO!C31-ANTIGUO!C31</f>
        <v>4</v>
      </c>
      <c r="D31" s="146">
        <f>+NUEVO!D31-ANTIGUO!D31</f>
        <v>1</v>
      </c>
      <c r="E31" s="146">
        <f>+NUEVO!E31-ANTIGUO!E31</f>
        <v>3</v>
      </c>
      <c r="F31" s="146">
        <f>+NUEVO!F31-ANTIGUO!F31</f>
        <v>0</v>
      </c>
      <c r="G31" s="146">
        <f>+NUEVO!G31-ANTIGUO!G31</f>
        <v>0</v>
      </c>
      <c r="H31" s="146">
        <f>+NUEVO!H31-ANTIGUO!H31</f>
        <v>0</v>
      </c>
      <c r="I31" s="146">
        <f>+NUEVO!I31-ANTIGUO!I31</f>
        <v>0</v>
      </c>
      <c r="J31" s="146">
        <f>+NUEVO!J31-ANTIGUO!J31</f>
        <v>1</v>
      </c>
      <c r="K31" s="146">
        <f>+NUEVO!K31-ANTIGUO!K31</f>
        <v>0</v>
      </c>
      <c r="L31" s="146">
        <f>+NUEVO!L31-ANTIGUO!L31</f>
        <v>0</v>
      </c>
      <c r="M31" s="146">
        <f>+NUEVO!M31-ANTIGUO!M31</f>
        <v>1</v>
      </c>
      <c r="N31" s="146">
        <f>+NUEVO!N31-ANTIGUO!N31</f>
        <v>0</v>
      </c>
      <c r="O31" s="146">
        <f>+NUEVO!O31-ANTIGUO!O31</f>
        <v>0</v>
      </c>
      <c r="P31" s="146">
        <f>+NUEVO!P31-ANTIGUO!P31</f>
        <v>0</v>
      </c>
      <c r="Q31" s="146">
        <f>+NUEVO!Q31-ANTIGUO!Q31</f>
        <v>0</v>
      </c>
      <c r="R31" s="146">
        <f>+NUEVO!R31-ANTIGUO!R31</f>
        <v>0</v>
      </c>
      <c r="S31" s="146">
        <f>+NUEVO!S31-ANTIGUO!S31</f>
        <v>0</v>
      </c>
      <c r="T31" s="146">
        <f>+NUEVO!T31-ANTIGUO!T31</f>
        <v>0</v>
      </c>
      <c r="U31" s="146">
        <f>+NUEVO!U31-ANTIGUO!U31</f>
        <v>0</v>
      </c>
      <c r="V31" s="146">
        <f>+NUEVO!V31-ANTIGUO!V31</f>
        <v>0</v>
      </c>
      <c r="W31" s="146">
        <f>+NUEVO!W31-ANTIGUO!W31</f>
        <v>0</v>
      </c>
      <c r="X31" s="146">
        <f>+NUEVO!X31-ANTIGUO!X31</f>
        <v>0</v>
      </c>
      <c r="Y31" s="146">
        <f>+NUEVO!Y31-ANTIGUO!Y31</f>
        <v>1</v>
      </c>
      <c r="Z31" s="146">
        <f>+NUEVO!Z31-ANTIGUO!Z31</f>
        <v>0</v>
      </c>
      <c r="AA31" s="146">
        <f>+NUEVO!AA31-ANTIGUO!AA31</f>
        <v>0</v>
      </c>
      <c r="AB31" s="146">
        <f>+NUEVO!AB31-ANTIGUO!AB31</f>
        <v>0</v>
      </c>
      <c r="AC31" s="146">
        <f>+NUEVO!AC31-ANTIGUO!AC31</f>
        <v>0</v>
      </c>
      <c r="AD31" s="146">
        <f>+NUEVO!AD31-ANTIGUO!AD31</f>
        <v>0</v>
      </c>
      <c r="AE31" s="146">
        <f>+NUEVO!AE31-ANTIGUO!AE31</f>
        <v>1</v>
      </c>
      <c r="AF31" s="146">
        <f>+NUEVO!AF31-ANTIGUO!AF31</f>
        <v>0</v>
      </c>
      <c r="AG31" s="146">
        <f>+NUEVO!AG31-ANTIGUO!AG31</f>
        <v>0</v>
      </c>
      <c r="AH31" s="146">
        <f>+NUEVO!AH31-ANTIGUO!AH31</f>
        <v>0</v>
      </c>
      <c r="AI31" s="146">
        <f>+NUEVO!AI31-ANTIGUO!AI31</f>
        <v>0</v>
      </c>
      <c r="AJ31" s="146">
        <f>+NUEVO!AJ31-ANTIGUO!AJ31</f>
        <v>0</v>
      </c>
      <c r="AK31" s="146">
        <f>+NUEVO!AK31-ANTIGUO!AK31</f>
        <v>0</v>
      </c>
      <c r="AL31" s="146">
        <f>+NUEVO!AL31-ANTIGUO!AL31</f>
        <v>0</v>
      </c>
      <c r="AM31" s="146">
        <f>+NUEVO!AM31-ANTIGUO!AM31</f>
        <v>0</v>
      </c>
      <c r="AN31" s="146">
        <f>+NUEVO!AN31-ANTIGUO!AN31</f>
        <v>-1</v>
      </c>
      <c r="AO31" s="146">
        <f>+NUEVO!AO31-ANTIGUO!AO31</f>
        <v>0</v>
      </c>
      <c r="AP31" s="146">
        <f>+NUEVO!AP31-ANTIGUO!AP31</f>
        <v>0</v>
      </c>
      <c r="AQ31" s="146">
        <f>+NUEVO!AQ31-ANTIGUO!AQ31</f>
        <v>0</v>
      </c>
      <c r="AR31" s="146">
        <f>+NUEVO!AR31-ANTIGUO!AR31</f>
        <v>0</v>
      </c>
      <c r="AS31" s="146">
        <f>+NUEVO!AS31-ANTIGUO!AS31</f>
        <v>0</v>
      </c>
      <c r="AT31" s="146">
        <f>+NUEVO!AT31-ANTIGUO!AT31</f>
        <v>0</v>
      </c>
      <c r="AU31" s="146">
        <f>+NUEVO!AU31-ANTIGUO!AU31</f>
        <v>0</v>
      </c>
      <c r="AV31" s="146">
        <f>+NUEVO!AV31-ANTIGUO!AV31</f>
        <v>0</v>
      </c>
      <c r="AW31" s="146">
        <f>+NUEVO!AW31-ANTIGUO!AW31</f>
        <v>0</v>
      </c>
      <c r="AX31" s="146">
        <f>+NUEVO!AX31-ANTIGUO!AX31</f>
        <v>0</v>
      </c>
    </row>
    <row r="32" spans="1:50" x14ac:dyDescent="0.25">
      <c r="A32" s="475"/>
      <c r="B32" s="122" t="s">
        <v>64</v>
      </c>
      <c r="C32" s="146">
        <f>+NUEVO!C32-ANTIGUO!C32</f>
        <v>0</v>
      </c>
      <c r="D32" s="146">
        <f>+NUEVO!D32-ANTIGUO!D32</f>
        <v>0</v>
      </c>
      <c r="E32" s="146">
        <f>+NUEVO!E32-ANTIGUO!E32</f>
        <v>0</v>
      </c>
      <c r="F32" s="146">
        <f>+NUEVO!F32-ANTIGUO!F32</f>
        <v>0</v>
      </c>
      <c r="G32" s="146">
        <f>+NUEVO!G32-ANTIGUO!G32</f>
        <v>0</v>
      </c>
      <c r="H32" s="146">
        <f>+NUEVO!H32-ANTIGUO!H32</f>
        <v>0</v>
      </c>
      <c r="I32" s="146">
        <f>+NUEVO!I32-ANTIGUO!I32</f>
        <v>0</v>
      </c>
      <c r="J32" s="146">
        <f>+NUEVO!J32-ANTIGUO!J32</f>
        <v>0</v>
      </c>
      <c r="K32" s="146">
        <f>+NUEVO!K32-ANTIGUO!K32</f>
        <v>0</v>
      </c>
      <c r="L32" s="146">
        <f>+NUEVO!L32-ANTIGUO!L32</f>
        <v>0</v>
      </c>
      <c r="M32" s="146">
        <f>+NUEVO!M32-ANTIGUO!M32</f>
        <v>0</v>
      </c>
      <c r="N32" s="146">
        <f>+NUEVO!N32-ANTIGUO!N32</f>
        <v>0</v>
      </c>
      <c r="O32" s="146">
        <f>+NUEVO!O32-ANTIGUO!O32</f>
        <v>0</v>
      </c>
      <c r="P32" s="146">
        <f>+NUEVO!P32-ANTIGUO!P32</f>
        <v>0</v>
      </c>
      <c r="Q32" s="146">
        <f>+NUEVO!Q32-ANTIGUO!Q32</f>
        <v>0</v>
      </c>
      <c r="R32" s="146">
        <f>+NUEVO!R32-ANTIGUO!R32</f>
        <v>0</v>
      </c>
      <c r="S32" s="146">
        <f>+NUEVO!S32-ANTIGUO!S32</f>
        <v>0</v>
      </c>
      <c r="T32" s="146">
        <f>+NUEVO!T32-ANTIGUO!T32</f>
        <v>0</v>
      </c>
      <c r="U32" s="146">
        <f>+NUEVO!U32-ANTIGUO!U32</f>
        <v>0</v>
      </c>
      <c r="V32" s="146">
        <f>+NUEVO!V32-ANTIGUO!V32</f>
        <v>0</v>
      </c>
      <c r="W32" s="146">
        <f>+NUEVO!W32-ANTIGUO!W32</f>
        <v>0</v>
      </c>
      <c r="X32" s="146">
        <f>+NUEVO!X32-ANTIGUO!X32</f>
        <v>0</v>
      </c>
      <c r="Y32" s="146">
        <f>+NUEVO!Y32-ANTIGUO!Y32</f>
        <v>0</v>
      </c>
      <c r="Z32" s="146">
        <f>+NUEVO!Z32-ANTIGUO!Z32</f>
        <v>0</v>
      </c>
      <c r="AA32" s="146">
        <f>+NUEVO!AA32-ANTIGUO!AA32</f>
        <v>0</v>
      </c>
      <c r="AB32" s="146">
        <f>+NUEVO!AB32-ANTIGUO!AB32</f>
        <v>0</v>
      </c>
      <c r="AC32" s="146">
        <f>+NUEVO!AC32-ANTIGUO!AC32</f>
        <v>0</v>
      </c>
      <c r="AD32" s="146">
        <f>+NUEVO!AD32-ANTIGUO!AD32</f>
        <v>0</v>
      </c>
      <c r="AE32" s="146">
        <f>+NUEVO!AE32-ANTIGUO!AE32</f>
        <v>0</v>
      </c>
      <c r="AF32" s="146">
        <f>+NUEVO!AF32-ANTIGUO!AF32</f>
        <v>0</v>
      </c>
      <c r="AG32" s="146">
        <f>+NUEVO!AG32-ANTIGUO!AG32</f>
        <v>0</v>
      </c>
      <c r="AH32" s="146">
        <f>+NUEVO!AH32-ANTIGUO!AH32</f>
        <v>0</v>
      </c>
      <c r="AI32" s="146">
        <f>+NUEVO!AI32-ANTIGUO!AI32</f>
        <v>0</v>
      </c>
      <c r="AJ32" s="146">
        <f>+NUEVO!AJ32-ANTIGUO!AJ32</f>
        <v>0</v>
      </c>
      <c r="AK32" s="146">
        <f>+NUEVO!AK32-ANTIGUO!AK32</f>
        <v>0</v>
      </c>
      <c r="AL32" s="146">
        <f>+NUEVO!AL32-ANTIGUO!AL32</f>
        <v>0</v>
      </c>
      <c r="AM32" s="146">
        <f>+NUEVO!AM32-ANTIGUO!AM32</f>
        <v>0</v>
      </c>
      <c r="AN32" s="146">
        <f>+NUEVO!AN32-ANTIGUO!AN32</f>
        <v>1</v>
      </c>
      <c r="AO32" s="146">
        <f>+NUEVO!AO32-ANTIGUO!AO32</f>
        <v>1</v>
      </c>
      <c r="AP32" s="146">
        <f>+NUEVO!AP32-ANTIGUO!AP32</f>
        <v>1</v>
      </c>
      <c r="AQ32" s="146">
        <f>+NUEVO!AQ32-ANTIGUO!AQ32</f>
        <v>0</v>
      </c>
      <c r="AR32" s="146">
        <f>+NUEVO!AR32-ANTIGUO!AR32</f>
        <v>1</v>
      </c>
      <c r="AS32" s="146">
        <f>+NUEVO!AS32-ANTIGUO!AS32</f>
        <v>1</v>
      </c>
      <c r="AT32" s="146">
        <f>+NUEVO!AT32-ANTIGUO!AT32</f>
        <v>1</v>
      </c>
      <c r="AU32" s="146">
        <f>+NUEVO!AU32-ANTIGUO!AU32</f>
        <v>0</v>
      </c>
      <c r="AV32" s="146">
        <f>+NUEVO!AV32-ANTIGUO!AV32</f>
        <v>1</v>
      </c>
      <c r="AW32" s="146">
        <f>+NUEVO!AW32-ANTIGUO!AW32</f>
        <v>1</v>
      </c>
      <c r="AX32" s="146">
        <f>+NUEVO!AX32-ANTIGUO!AX32</f>
        <v>1</v>
      </c>
    </row>
    <row r="33" spans="1:50" ht="21" x14ac:dyDescent="0.25">
      <c r="A33" s="475"/>
      <c r="B33" s="122" t="s">
        <v>65</v>
      </c>
      <c r="C33" s="146">
        <f>+NUEVO!C33-ANTIGUO!C33</f>
        <v>-1</v>
      </c>
      <c r="D33" s="146">
        <f>+NUEVO!D33-ANTIGUO!D33</f>
        <v>-1</v>
      </c>
      <c r="E33" s="146">
        <f>+NUEVO!E33-ANTIGUO!E33</f>
        <v>0</v>
      </c>
      <c r="F33" s="146">
        <f>+NUEVO!F33-ANTIGUO!F33</f>
        <v>0</v>
      </c>
      <c r="G33" s="146">
        <f>+NUEVO!G33-ANTIGUO!G33</f>
        <v>0</v>
      </c>
      <c r="H33" s="146">
        <f>+NUEVO!H33-ANTIGUO!H33</f>
        <v>0</v>
      </c>
      <c r="I33" s="146">
        <f>+NUEVO!I33-ANTIGUO!I33</f>
        <v>0</v>
      </c>
      <c r="J33" s="146">
        <f>+NUEVO!J33-ANTIGUO!J33</f>
        <v>0</v>
      </c>
      <c r="K33" s="146">
        <f>+NUEVO!K33-ANTIGUO!K33</f>
        <v>0</v>
      </c>
      <c r="L33" s="146">
        <f>+NUEVO!L33-ANTIGUO!L33</f>
        <v>0</v>
      </c>
      <c r="M33" s="146">
        <f>+NUEVO!M33-ANTIGUO!M33</f>
        <v>0</v>
      </c>
      <c r="N33" s="146">
        <f>+NUEVO!N33-ANTIGUO!N33</f>
        <v>0</v>
      </c>
      <c r="O33" s="146">
        <f>+NUEVO!O33-ANTIGUO!O33</f>
        <v>0</v>
      </c>
      <c r="P33" s="146">
        <f>+NUEVO!P33-ANTIGUO!P33</f>
        <v>0</v>
      </c>
      <c r="Q33" s="146">
        <f>+NUEVO!Q33-ANTIGUO!Q33</f>
        <v>0</v>
      </c>
      <c r="R33" s="146">
        <f>+NUEVO!R33-ANTIGUO!R33</f>
        <v>0</v>
      </c>
      <c r="S33" s="146">
        <f>+NUEVO!S33-ANTIGUO!S33</f>
        <v>-1</v>
      </c>
      <c r="T33" s="146">
        <f>+NUEVO!T33-ANTIGUO!T33</f>
        <v>0</v>
      </c>
      <c r="U33" s="146">
        <f>+NUEVO!U33-ANTIGUO!U33</f>
        <v>1</v>
      </c>
      <c r="V33" s="146">
        <f>+NUEVO!V33-ANTIGUO!V33</f>
        <v>-1</v>
      </c>
      <c r="W33" s="146">
        <f>+NUEVO!W33-ANTIGUO!W33</f>
        <v>0</v>
      </c>
      <c r="X33" s="146">
        <f>+NUEVO!X33-ANTIGUO!X33</f>
        <v>0</v>
      </c>
      <c r="Y33" s="146">
        <f>+NUEVO!Y33-ANTIGUO!Y33</f>
        <v>1</v>
      </c>
      <c r="Z33" s="146">
        <f>+NUEVO!Z33-ANTIGUO!Z33</f>
        <v>0</v>
      </c>
      <c r="AA33" s="146">
        <f>+NUEVO!AA33-ANTIGUO!AA33</f>
        <v>-1</v>
      </c>
      <c r="AB33" s="146">
        <f>+NUEVO!AB33-ANTIGUO!AB33</f>
        <v>0</v>
      </c>
      <c r="AC33" s="146">
        <f>+NUEVO!AC33-ANTIGUO!AC33</f>
        <v>-1</v>
      </c>
      <c r="AD33" s="146">
        <f>+NUEVO!AD33-ANTIGUO!AD33</f>
        <v>0</v>
      </c>
      <c r="AE33" s="146">
        <f>+NUEVO!AE33-ANTIGUO!AE33</f>
        <v>1</v>
      </c>
      <c r="AF33" s="146">
        <f>+NUEVO!AF33-ANTIGUO!AF33</f>
        <v>0</v>
      </c>
      <c r="AG33" s="146">
        <f>+NUEVO!AG33-ANTIGUO!AG33</f>
        <v>0</v>
      </c>
      <c r="AH33" s="146">
        <f>+NUEVO!AH33-ANTIGUO!AH33</f>
        <v>0</v>
      </c>
      <c r="AI33" s="146">
        <f>+NUEVO!AI33-ANTIGUO!AI33</f>
        <v>0</v>
      </c>
      <c r="AJ33" s="146">
        <f>+NUEVO!AJ33-ANTIGUO!AJ33</f>
        <v>0</v>
      </c>
      <c r="AK33" s="146">
        <f>+NUEVO!AK33-ANTIGUO!AK33</f>
        <v>0</v>
      </c>
      <c r="AL33" s="146">
        <f>+NUEVO!AL33-ANTIGUO!AL33</f>
        <v>0</v>
      </c>
      <c r="AM33" s="146">
        <f>+NUEVO!AM33-ANTIGUO!AM33</f>
        <v>0</v>
      </c>
      <c r="AN33" s="146">
        <f>+NUEVO!AN33-ANTIGUO!AN33</f>
        <v>0</v>
      </c>
      <c r="AO33" s="146">
        <f>+NUEVO!AO33-ANTIGUO!AO33</f>
        <v>0</v>
      </c>
      <c r="AP33" s="146">
        <f>+NUEVO!AP33-ANTIGUO!AP33</f>
        <v>0</v>
      </c>
      <c r="AQ33" s="146">
        <f>+NUEVO!AQ33-ANTIGUO!AQ33</f>
        <v>0</v>
      </c>
      <c r="AR33" s="146">
        <f>+NUEVO!AR33-ANTIGUO!AR33</f>
        <v>0</v>
      </c>
      <c r="AS33" s="146">
        <f>+NUEVO!AS33-ANTIGUO!AS33</f>
        <v>0</v>
      </c>
      <c r="AT33" s="146">
        <f>+NUEVO!AT33-ANTIGUO!AT33</f>
        <v>0</v>
      </c>
      <c r="AU33" s="146">
        <f>+NUEVO!AU33-ANTIGUO!AU33</f>
        <v>0</v>
      </c>
      <c r="AV33" s="146">
        <f>+NUEVO!AV33-ANTIGUO!AV33</f>
        <v>0</v>
      </c>
      <c r="AW33" s="146">
        <f>+NUEVO!AW33-ANTIGUO!AW33</f>
        <v>0</v>
      </c>
      <c r="AX33" s="146">
        <f>+NUEVO!AX33-ANTIGUO!AX33</f>
        <v>0</v>
      </c>
    </row>
    <row r="34" spans="1:50" x14ac:dyDescent="0.25">
      <c r="A34" s="445"/>
      <c r="B34" s="115" t="s">
        <v>66</v>
      </c>
      <c r="C34" s="146">
        <f>+NUEVO!C34-ANTIGUO!C34</f>
        <v>315</v>
      </c>
      <c r="D34" s="146">
        <f>+NUEVO!D34-ANTIGUO!D34</f>
        <v>61</v>
      </c>
      <c r="E34" s="146">
        <f>+NUEVO!E34-ANTIGUO!E34</f>
        <v>254</v>
      </c>
      <c r="F34" s="146">
        <f>+NUEVO!F34-ANTIGUO!F34</f>
        <v>0</v>
      </c>
      <c r="G34" s="146">
        <f>+NUEVO!G34-ANTIGUO!G34</f>
        <v>0</v>
      </c>
      <c r="H34" s="146">
        <f>+NUEVO!H34-ANTIGUO!H34</f>
        <v>0</v>
      </c>
      <c r="I34" s="146">
        <f>+NUEVO!I34-ANTIGUO!I34</f>
        <v>0</v>
      </c>
      <c r="J34" s="146">
        <f>+NUEVO!J34-ANTIGUO!J34</f>
        <v>1</v>
      </c>
      <c r="K34" s="146">
        <f>+NUEVO!K34-ANTIGUO!K34</f>
        <v>5</v>
      </c>
      <c r="L34" s="146">
        <f>+NUEVO!L34-ANTIGUO!L34</f>
        <v>6</v>
      </c>
      <c r="M34" s="146">
        <f>+NUEVO!M34-ANTIGUO!M34</f>
        <v>18</v>
      </c>
      <c r="N34" s="146">
        <f>+NUEVO!N34-ANTIGUO!N34</f>
        <v>4</v>
      </c>
      <c r="O34" s="146">
        <f>+NUEVO!O34-ANTIGUO!O34</f>
        <v>12</v>
      </c>
      <c r="P34" s="146">
        <f>+NUEVO!P34-ANTIGUO!P34</f>
        <v>12</v>
      </c>
      <c r="Q34" s="146">
        <f>+NUEVO!Q34-ANTIGUO!Q34</f>
        <v>22</v>
      </c>
      <c r="R34" s="146">
        <f>+NUEVO!R34-ANTIGUO!R34</f>
        <v>3</v>
      </c>
      <c r="S34" s="146">
        <f>+NUEVO!S34-ANTIGUO!S34</f>
        <v>17</v>
      </c>
      <c r="T34" s="146">
        <f>+NUEVO!T34-ANTIGUO!T34</f>
        <v>4</v>
      </c>
      <c r="U34" s="146">
        <f>+NUEVO!U34-ANTIGUO!U34</f>
        <v>27</v>
      </c>
      <c r="V34" s="146">
        <f>+NUEVO!V34-ANTIGUO!V34</f>
        <v>4</v>
      </c>
      <c r="W34" s="146">
        <f>+NUEVO!W34-ANTIGUO!W34</f>
        <v>9</v>
      </c>
      <c r="X34" s="146">
        <f>+NUEVO!X34-ANTIGUO!X34</f>
        <v>1</v>
      </c>
      <c r="Y34" s="146">
        <f>+NUEVO!Y34-ANTIGUO!Y34</f>
        <v>12</v>
      </c>
      <c r="Z34" s="146">
        <f>+NUEVO!Z34-ANTIGUO!Z34</f>
        <v>3</v>
      </c>
      <c r="AA34" s="146">
        <f>+NUEVO!AA34-ANTIGUO!AA34</f>
        <v>13</v>
      </c>
      <c r="AB34" s="146">
        <f>+NUEVO!AB34-ANTIGUO!AB34</f>
        <v>6</v>
      </c>
      <c r="AC34" s="146">
        <f>+NUEVO!AC34-ANTIGUO!AC34</f>
        <v>26</v>
      </c>
      <c r="AD34" s="146">
        <f>+NUEVO!AD34-ANTIGUO!AD34</f>
        <v>2</v>
      </c>
      <c r="AE34" s="146">
        <f>+NUEVO!AE34-ANTIGUO!AE34</f>
        <v>34</v>
      </c>
      <c r="AF34" s="146">
        <f>+NUEVO!AF34-ANTIGUO!AF34</f>
        <v>6</v>
      </c>
      <c r="AG34" s="146">
        <f>+NUEVO!AG34-ANTIGUO!AG34</f>
        <v>28</v>
      </c>
      <c r="AH34" s="146">
        <f>+NUEVO!AH34-ANTIGUO!AH34</f>
        <v>5</v>
      </c>
      <c r="AI34" s="146">
        <f>+NUEVO!AI34-ANTIGUO!AI34</f>
        <v>14</v>
      </c>
      <c r="AJ34" s="146">
        <f>+NUEVO!AJ34-ANTIGUO!AJ34</f>
        <v>3</v>
      </c>
      <c r="AK34" s="146">
        <f>+NUEVO!AK34-ANTIGUO!AK34</f>
        <v>13</v>
      </c>
      <c r="AL34" s="146">
        <f>+NUEVO!AL34-ANTIGUO!AL34</f>
        <v>1</v>
      </c>
      <c r="AM34" s="146">
        <f>+NUEVO!AM34-ANTIGUO!AM34</f>
        <v>4</v>
      </c>
      <c r="AN34" s="146">
        <f>+NUEVO!AN34-ANTIGUO!AN34</f>
        <v>3</v>
      </c>
      <c r="AO34" s="146">
        <f>+NUEVO!AO34-ANTIGUO!AO34</f>
        <v>28</v>
      </c>
      <c r="AP34" s="146">
        <f>+NUEVO!AP34-ANTIGUO!AP34</f>
        <v>1</v>
      </c>
      <c r="AQ34" s="146">
        <f>+NUEVO!AQ34-ANTIGUO!AQ34</f>
        <v>9</v>
      </c>
      <c r="AR34" s="146">
        <f>+NUEVO!AR34-ANTIGUO!AR34</f>
        <v>4</v>
      </c>
      <c r="AS34" s="146">
        <f>+NUEVO!AS34-ANTIGUO!AS34</f>
        <v>5</v>
      </c>
      <c r="AT34" s="146">
        <f>+NUEVO!AT34-ANTIGUO!AT34</f>
        <v>0</v>
      </c>
      <c r="AU34" s="146">
        <f>+NUEVO!AU34-ANTIGUO!AU34</f>
        <v>1</v>
      </c>
      <c r="AV34" s="146">
        <f>+NUEVO!AV34-ANTIGUO!AV34</f>
        <v>0</v>
      </c>
      <c r="AW34" s="146">
        <f>+NUEVO!AW34-ANTIGUO!AW34</f>
        <v>3</v>
      </c>
      <c r="AX34" s="146">
        <f>+NUEVO!AX34-ANTIGUO!AX34</f>
        <v>0</v>
      </c>
    </row>
    <row r="35" spans="1:50" x14ac:dyDescent="0.25">
      <c r="A35" s="474" t="s">
        <v>67</v>
      </c>
      <c r="B35" s="124" t="s">
        <v>68</v>
      </c>
      <c r="C35" s="146">
        <f>+NUEVO!C35-ANTIGUO!C35</f>
        <v>0</v>
      </c>
      <c r="D35" s="146">
        <f>+NUEVO!D35-ANTIGUO!D35</f>
        <v>0</v>
      </c>
      <c r="E35" s="146">
        <f>+NUEVO!E35-ANTIGUO!E35</f>
        <v>0</v>
      </c>
      <c r="F35" s="146">
        <f>+NUEVO!F35-ANTIGUO!F35</f>
        <v>0</v>
      </c>
      <c r="G35" s="146">
        <f>+NUEVO!G35-ANTIGUO!G35</f>
        <v>0</v>
      </c>
      <c r="H35" s="146">
        <f>+NUEVO!H35-ANTIGUO!H35</f>
        <v>0</v>
      </c>
      <c r="I35" s="146">
        <f>+NUEVO!I35-ANTIGUO!I35</f>
        <v>0</v>
      </c>
      <c r="J35" s="146">
        <f>+NUEVO!J35-ANTIGUO!J35</f>
        <v>0</v>
      </c>
      <c r="K35" s="146">
        <f>+NUEVO!K35-ANTIGUO!K35</f>
        <v>0</v>
      </c>
      <c r="L35" s="146">
        <f>+NUEVO!L35-ANTIGUO!L35</f>
        <v>0</v>
      </c>
      <c r="M35" s="146">
        <f>+NUEVO!M35-ANTIGUO!M35</f>
        <v>0</v>
      </c>
      <c r="N35" s="146">
        <f>+NUEVO!N35-ANTIGUO!N35</f>
        <v>0</v>
      </c>
      <c r="O35" s="146">
        <f>+NUEVO!O35-ANTIGUO!O35</f>
        <v>0</v>
      </c>
      <c r="P35" s="146">
        <f>+NUEVO!P35-ANTIGUO!P35</f>
        <v>0</v>
      </c>
      <c r="Q35" s="146">
        <f>+NUEVO!Q35-ANTIGUO!Q35</f>
        <v>0</v>
      </c>
      <c r="R35" s="146">
        <f>+NUEVO!R35-ANTIGUO!R35</f>
        <v>0</v>
      </c>
      <c r="S35" s="146">
        <f>+NUEVO!S35-ANTIGUO!S35</f>
        <v>0</v>
      </c>
      <c r="T35" s="146">
        <f>+NUEVO!T35-ANTIGUO!T35</f>
        <v>0</v>
      </c>
      <c r="U35" s="146">
        <f>+NUEVO!U35-ANTIGUO!U35</f>
        <v>0</v>
      </c>
      <c r="V35" s="146">
        <f>+NUEVO!V35-ANTIGUO!V35</f>
        <v>0</v>
      </c>
      <c r="W35" s="146">
        <f>+NUEVO!W35-ANTIGUO!W35</f>
        <v>0</v>
      </c>
      <c r="X35" s="146">
        <f>+NUEVO!X35-ANTIGUO!X35</f>
        <v>0</v>
      </c>
      <c r="Y35" s="146">
        <f>+NUEVO!Y35-ANTIGUO!Y35</f>
        <v>0</v>
      </c>
      <c r="Z35" s="146">
        <f>+NUEVO!Z35-ANTIGUO!Z35</f>
        <v>0</v>
      </c>
      <c r="AA35" s="146">
        <f>+NUEVO!AA35-ANTIGUO!AA35</f>
        <v>0</v>
      </c>
      <c r="AB35" s="146">
        <f>+NUEVO!AB35-ANTIGUO!AB35</f>
        <v>0</v>
      </c>
      <c r="AC35" s="146">
        <f>+NUEVO!AC35-ANTIGUO!AC35</f>
        <v>0</v>
      </c>
      <c r="AD35" s="146">
        <f>+NUEVO!AD35-ANTIGUO!AD35</f>
        <v>0</v>
      </c>
      <c r="AE35" s="146">
        <f>+NUEVO!AE35-ANTIGUO!AE35</f>
        <v>0</v>
      </c>
      <c r="AF35" s="146">
        <f>+NUEVO!AF35-ANTIGUO!AF35</f>
        <v>-1</v>
      </c>
      <c r="AG35" s="146">
        <f>+NUEVO!AG35-ANTIGUO!AG35</f>
        <v>0</v>
      </c>
      <c r="AH35" s="146">
        <f>+NUEVO!AH35-ANTIGUO!AH35</f>
        <v>1</v>
      </c>
      <c r="AI35" s="146">
        <f>+NUEVO!AI35-ANTIGUO!AI35</f>
        <v>0</v>
      </c>
      <c r="AJ35" s="146">
        <f>+NUEVO!AJ35-ANTIGUO!AJ35</f>
        <v>0</v>
      </c>
      <c r="AK35" s="146">
        <f>+NUEVO!AK35-ANTIGUO!AK35</f>
        <v>0</v>
      </c>
      <c r="AL35" s="146">
        <f>+NUEVO!AL35-ANTIGUO!AL35</f>
        <v>0</v>
      </c>
      <c r="AM35" s="146">
        <f>+NUEVO!AM35-ANTIGUO!AM35</f>
        <v>0</v>
      </c>
      <c r="AN35" s="146">
        <f>+NUEVO!AN35-ANTIGUO!AN35</f>
        <v>0</v>
      </c>
      <c r="AO35" s="146">
        <f>+NUEVO!AO35-ANTIGUO!AO35</f>
        <v>0</v>
      </c>
      <c r="AP35" s="146">
        <f>+NUEVO!AP35-ANTIGUO!AP35</f>
        <v>0</v>
      </c>
      <c r="AQ35" s="146">
        <f>+NUEVO!AQ35-ANTIGUO!AQ35</f>
        <v>0</v>
      </c>
      <c r="AR35" s="146">
        <f>+NUEVO!AR35-ANTIGUO!AR35</f>
        <v>0</v>
      </c>
      <c r="AS35" s="146">
        <f>+NUEVO!AS35-ANTIGUO!AS35</f>
        <v>0</v>
      </c>
      <c r="AT35" s="146">
        <f>+NUEVO!AT35-ANTIGUO!AT35</f>
        <v>0</v>
      </c>
      <c r="AU35" s="146">
        <f>+NUEVO!AU35-ANTIGUO!AU35</f>
        <v>0</v>
      </c>
      <c r="AV35" s="146">
        <f>+NUEVO!AV35-ANTIGUO!AV35</f>
        <v>0</v>
      </c>
      <c r="AW35" s="146">
        <f>+NUEVO!AW35-ANTIGUO!AW35</f>
        <v>0</v>
      </c>
      <c r="AX35" s="146">
        <f>+NUEVO!AX35-ANTIGUO!AX35</f>
        <v>0</v>
      </c>
    </row>
    <row r="36" spans="1:50" x14ac:dyDescent="0.25">
      <c r="A36" s="475"/>
      <c r="B36" s="127" t="s">
        <v>69</v>
      </c>
      <c r="C36" s="146">
        <f>+NUEVO!C36-ANTIGUO!C36</f>
        <v>0</v>
      </c>
      <c r="D36" s="146">
        <f>+NUEVO!D36-ANTIGUO!D36</f>
        <v>2</v>
      </c>
      <c r="E36" s="146">
        <f>+NUEVO!E36-ANTIGUO!E36</f>
        <v>-2</v>
      </c>
      <c r="F36" s="146">
        <f>+NUEVO!F36-ANTIGUO!F36</f>
        <v>0</v>
      </c>
      <c r="G36" s="146">
        <f>+NUEVO!G36-ANTIGUO!G36</f>
        <v>0</v>
      </c>
      <c r="H36" s="146">
        <f>+NUEVO!H36-ANTIGUO!H36</f>
        <v>0</v>
      </c>
      <c r="I36" s="146">
        <f>+NUEVO!I36-ANTIGUO!I36</f>
        <v>0</v>
      </c>
      <c r="J36" s="146">
        <f>+NUEVO!J36-ANTIGUO!J36</f>
        <v>0</v>
      </c>
      <c r="K36" s="146">
        <f>+NUEVO!K36-ANTIGUO!K36</f>
        <v>0</v>
      </c>
      <c r="L36" s="146">
        <f>+NUEVO!L36-ANTIGUO!L36</f>
        <v>0</v>
      </c>
      <c r="M36" s="146">
        <f>+NUEVO!M36-ANTIGUO!M36</f>
        <v>0</v>
      </c>
      <c r="N36" s="146">
        <f>+NUEVO!N36-ANTIGUO!N36</f>
        <v>0</v>
      </c>
      <c r="O36" s="146">
        <f>+NUEVO!O36-ANTIGUO!O36</f>
        <v>0</v>
      </c>
      <c r="P36" s="146">
        <f>+NUEVO!P36-ANTIGUO!P36</f>
        <v>0</v>
      </c>
      <c r="Q36" s="146">
        <f>+NUEVO!Q36-ANTIGUO!Q36</f>
        <v>0</v>
      </c>
      <c r="R36" s="146">
        <f>+NUEVO!R36-ANTIGUO!R36</f>
        <v>0</v>
      </c>
      <c r="S36" s="146">
        <f>+NUEVO!S36-ANTIGUO!S36</f>
        <v>0</v>
      </c>
      <c r="T36" s="146">
        <f>+NUEVO!T36-ANTIGUO!T36</f>
        <v>0</v>
      </c>
      <c r="U36" s="146">
        <f>+NUEVO!U36-ANTIGUO!U36</f>
        <v>0</v>
      </c>
      <c r="V36" s="146">
        <f>+NUEVO!V36-ANTIGUO!V36</f>
        <v>0</v>
      </c>
      <c r="W36" s="146">
        <f>+NUEVO!W36-ANTIGUO!W36</f>
        <v>0</v>
      </c>
      <c r="X36" s="146">
        <f>+NUEVO!X36-ANTIGUO!X36</f>
        <v>1</v>
      </c>
      <c r="Y36" s="146">
        <f>+NUEVO!Y36-ANTIGUO!Y36</f>
        <v>0</v>
      </c>
      <c r="Z36" s="146">
        <f>+NUEVO!Z36-ANTIGUO!Z36</f>
        <v>0</v>
      </c>
      <c r="AA36" s="146">
        <f>+NUEVO!AA36-ANTIGUO!AA36</f>
        <v>0</v>
      </c>
      <c r="AB36" s="146">
        <f>+NUEVO!AB36-ANTIGUO!AB36</f>
        <v>0</v>
      </c>
      <c r="AC36" s="146">
        <f>+NUEVO!AC36-ANTIGUO!AC36</f>
        <v>0</v>
      </c>
      <c r="AD36" s="146">
        <f>+NUEVO!AD36-ANTIGUO!AD36</f>
        <v>-2</v>
      </c>
      <c r="AE36" s="146">
        <f>+NUEVO!AE36-ANTIGUO!AE36</f>
        <v>0</v>
      </c>
      <c r="AF36" s="146">
        <f>+NUEVO!AF36-ANTIGUO!AF36</f>
        <v>1</v>
      </c>
      <c r="AG36" s="146">
        <f>+NUEVO!AG36-ANTIGUO!AG36</f>
        <v>0</v>
      </c>
      <c r="AH36" s="146">
        <f>+NUEVO!AH36-ANTIGUO!AH36</f>
        <v>0</v>
      </c>
      <c r="AI36" s="146">
        <f>+NUEVO!AI36-ANTIGUO!AI36</f>
        <v>0</v>
      </c>
      <c r="AJ36" s="146">
        <f>+NUEVO!AJ36-ANTIGUO!AJ36</f>
        <v>0</v>
      </c>
      <c r="AK36" s="146">
        <f>+NUEVO!AK36-ANTIGUO!AK36</f>
        <v>0</v>
      </c>
      <c r="AL36" s="146">
        <f>+NUEVO!AL36-ANTIGUO!AL36</f>
        <v>2</v>
      </c>
      <c r="AM36" s="146">
        <f>+NUEVO!AM36-ANTIGUO!AM36</f>
        <v>-2</v>
      </c>
      <c r="AN36" s="146">
        <f>+NUEVO!AN36-ANTIGUO!AN36</f>
        <v>0</v>
      </c>
      <c r="AO36" s="146">
        <f>+NUEVO!AO36-ANTIGUO!AO36</f>
        <v>0</v>
      </c>
      <c r="AP36" s="146">
        <f>+NUEVO!AP36-ANTIGUO!AP36</f>
        <v>0</v>
      </c>
      <c r="AQ36" s="146">
        <f>+NUEVO!AQ36-ANTIGUO!AQ36</f>
        <v>0</v>
      </c>
      <c r="AR36" s="146">
        <f>+NUEVO!AR36-ANTIGUO!AR36</f>
        <v>0</v>
      </c>
      <c r="AS36" s="146">
        <f>+NUEVO!AS36-ANTIGUO!AS36</f>
        <v>0</v>
      </c>
      <c r="AT36" s="146">
        <f>+NUEVO!AT36-ANTIGUO!AT36</f>
        <v>0</v>
      </c>
      <c r="AU36" s="146">
        <f>+NUEVO!AU36-ANTIGUO!AU36</f>
        <v>0</v>
      </c>
      <c r="AV36" s="146">
        <f>+NUEVO!AV36-ANTIGUO!AV36</f>
        <v>0</v>
      </c>
      <c r="AW36" s="146">
        <f>+NUEVO!AW36-ANTIGUO!AW36</f>
        <v>0</v>
      </c>
      <c r="AX36" s="146">
        <f>+NUEVO!AX36-ANTIGUO!AX36</f>
        <v>0</v>
      </c>
    </row>
    <row r="37" spans="1:50" x14ac:dyDescent="0.25">
      <c r="A37" s="445"/>
      <c r="B37" s="130" t="s">
        <v>70</v>
      </c>
      <c r="C37" s="146">
        <f>+NUEVO!C37-ANTIGUO!C37</f>
        <v>0</v>
      </c>
      <c r="D37" s="146">
        <f>+NUEVO!D37-ANTIGUO!D37</f>
        <v>0</v>
      </c>
      <c r="E37" s="146">
        <f>+NUEVO!E37-ANTIGUO!E37</f>
        <v>0</v>
      </c>
      <c r="F37" s="146">
        <f>+NUEVO!F37-ANTIGUO!F37</f>
        <v>0</v>
      </c>
      <c r="G37" s="146">
        <f>+NUEVO!G37-ANTIGUO!G37</f>
        <v>0</v>
      </c>
      <c r="H37" s="146">
        <f>+NUEVO!H37-ANTIGUO!H37</f>
        <v>0</v>
      </c>
      <c r="I37" s="146">
        <f>+NUEVO!I37-ANTIGUO!I37</f>
        <v>0</v>
      </c>
      <c r="J37" s="146">
        <f>+NUEVO!J37-ANTIGUO!J37</f>
        <v>0</v>
      </c>
      <c r="K37" s="146">
        <f>+NUEVO!K37-ANTIGUO!K37</f>
        <v>0</v>
      </c>
      <c r="L37" s="146">
        <f>+NUEVO!L37-ANTIGUO!L37</f>
        <v>0</v>
      </c>
      <c r="M37" s="146">
        <f>+NUEVO!M37-ANTIGUO!M37</f>
        <v>0</v>
      </c>
      <c r="N37" s="146">
        <f>+NUEVO!N37-ANTIGUO!N37</f>
        <v>0</v>
      </c>
      <c r="O37" s="146">
        <f>+NUEVO!O37-ANTIGUO!O37</f>
        <v>0</v>
      </c>
      <c r="P37" s="146">
        <f>+NUEVO!P37-ANTIGUO!P37</f>
        <v>0</v>
      </c>
      <c r="Q37" s="146">
        <f>+NUEVO!Q37-ANTIGUO!Q37</f>
        <v>0</v>
      </c>
      <c r="R37" s="146">
        <f>+NUEVO!R37-ANTIGUO!R37</f>
        <v>0</v>
      </c>
      <c r="S37" s="146">
        <f>+NUEVO!S37-ANTIGUO!S37</f>
        <v>0</v>
      </c>
      <c r="T37" s="146">
        <f>+NUEVO!T37-ANTIGUO!T37</f>
        <v>0</v>
      </c>
      <c r="U37" s="146">
        <f>+NUEVO!U37-ANTIGUO!U37</f>
        <v>0</v>
      </c>
      <c r="V37" s="146">
        <f>+NUEVO!V37-ANTIGUO!V37</f>
        <v>0</v>
      </c>
      <c r="W37" s="146">
        <f>+NUEVO!W37-ANTIGUO!W37</f>
        <v>0</v>
      </c>
      <c r="X37" s="146">
        <f>+NUEVO!X37-ANTIGUO!X37</f>
        <v>0</v>
      </c>
      <c r="Y37" s="146">
        <f>+NUEVO!Y37-ANTIGUO!Y37</f>
        <v>0</v>
      </c>
      <c r="Z37" s="146">
        <f>+NUEVO!Z37-ANTIGUO!Z37</f>
        <v>0</v>
      </c>
      <c r="AA37" s="146">
        <f>+NUEVO!AA37-ANTIGUO!AA37</f>
        <v>0</v>
      </c>
      <c r="AB37" s="146">
        <f>+NUEVO!AB37-ANTIGUO!AB37</f>
        <v>0</v>
      </c>
      <c r="AC37" s="146">
        <f>+NUEVO!AC37-ANTIGUO!AC37</f>
        <v>0</v>
      </c>
      <c r="AD37" s="146">
        <f>+NUEVO!AD37-ANTIGUO!AD37</f>
        <v>0</v>
      </c>
      <c r="AE37" s="146">
        <f>+NUEVO!AE37-ANTIGUO!AE37</f>
        <v>0</v>
      </c>
      <c r="AF37" s="146">
        <f>+NUEVO!AF37-ANTIGUO!AF37</f>
        <v>0</v>
      </c>
      <c r="AG37" s="146">
        <f>+NUEVO!AG37-ANTIGUO!AG37</f>
        <v>0</v>
      </c>
      <c r="AH37" s="146">
        <f>+NUEVO!AH37-ANTIGUO!AH37</f>
        <v>0</v>
      </c>
      <c r="AI37" s="146">
        <f>+NUEVO!AI37-ANTIGUO!AI37</f>
        <v>0</v>
      </c>
      <c r="AJ37" s="146">
        <f>+NUEVO!AJ37-ANTIGUO!AJ37</f>
        <v>0</v>
      </c>
      <c r="AK37" s="146">
        <f>+NUEVO!AK37-ANTIGUO!AK37</f>
        <v>0</v>
      </c>
      <c r="AL37" s="146">
        <f>+NUEVO!AL37-ANTIGUO!AL37</f>
        <v>0</v>
      </c>
      <c r="AM37" s="146">
        <f>+NUEVO!AM37-ANTIGUO!AM37</f>
        <v>0</v>
      </c>
      <c r="AN37" s="146">
        <f>+NUEVO!AN37-ANTIGUO!AN37</f>
        <v>0</v>
      </c>
      <c r="AO37" s="146">
        <f>+NUEVO!AO37-ANTIGUO!AO37</f>
        <v>0</v>
      </c>
      <c r="AP37" s="146">
        <f>+NUEVO!AP37-ANTIGUO!AP37</f>
        <v>0</v>
      </c>
      <c r="AQ37" s="146">
        <f>+NUEVO!AQ37-ANTIGUO!AQ37</f>
        <v>0</v>
      </c>
      <c r="AR37" s="146">
        <f>+NUEVO!AR37-ANTIGUO!AR37</f>
        <v>0</v>
      </c>
      <c r="AS37" s="146">
        <f>+NUEVO!AS37-ANTIGUO!AS37</f>
        <v>0</v>
      </c>
      <c r="AT37" s="146">
        <f>+NUEVO!AT37-ANTIGUO!AT37</f>
        <v>0</v>
      </c>
      <c r="AU37" s="146">
        <f>+NUEVO!AU37-ANTIGUO!AU37</f>
        <v>0</v>
      </c>
      <c r="AV37" s="146">
        <f>+NUEVO!AV37-ANTIGUO!AV37</f>
        <v>0</v>
      </c>
      <c r="AW37" s="146">
        <f>+NUEVO!AW37-ANTIGUO!AW37</f>
        <v>0</v>
      </c>
      <c r="AX37" s="146">
        <f>+NUEVO!AX37-ANTIGUO!AX37</f>
        <v>0</v>
      </c>
    </row>
    <row r="38" spans="1:50" x14ac:dyDescent="0.25">
      <c r="A38" s="499" t="s">
        <v>71</v>
      </c>
      <c r="B38" s="500"/>
      <c r="C38" s="146">
        <f>+NUEVO!C38-ANTIGUO!C38</f>
        <v>0</v>
      </c>
      <c r="D38" s="146">
        <f>+NUEVO!D38-ANTIGUO!D38</f>
        <v>0</v>
      </c>
      <c r="E38" s="146">
        <f>+NUEVO!E38-ANTIGUO!E38</f>
        <v>0</v>
      </c>
      <c r="F38" s="146">
        <f>+NUEVO!F38-ANTIGUO!F38</f>
        <v>0</v>
      </c>
      <c r="G38" s="146">
        <f>+NUEVO!G38-ANTIGUO!G38</f>
        <v>0</v>
      </c>
      <c r="H38" s="146">
        <f>+NUEVO!H38-ANTIGUO!H38</f>
        <v>0</v>
      </c>
      <c r="I38" s="146">
        <f>+NUEVO!I38-ANTIGUO!I38</f>
        <v>0</v>
      </c>
      <c r="J38" s="146">
        <f>+NUEVO!J38-ANTIGUO!J38</f>
        <v>0</v>
      </c>
      <c r="K38" s="146">
        <f>+NUEVO!K38-ANTIGUO!K38</f>
        <v>0</v>
      </c>
      <c r="L38" s="146">
        <f>+NUEVO!L38-ANTIGUO!L38</f>
        <v>0</v>
      </c>
      <c r="M38" s="146">
        <f>+NUEVO!M38-ANTIGUO!M38</f>
        <v>0</v>
      </c>
      <c r="N38" s="146">
        <f>+NUEVO!N38-ANTIGUO!N38</f>
        <v>0</v>
      </c>
      <c r="O38" s="146">
        <f>+NUEVO!O38-ANTIGUO!O38</f>
        <v>0</v>
      </c>
      <c r="P38" s="146">
        <f>+NUEVO!P38-ANTIGUO!P38</f>
        <v>0</v>
      </c>
      <c r="Q38" s="146">
        <f>+NUEVO!Q38-ANTIGUO!Q38</f>
        <v>0</v>
      </c>
      <c r="R38" s="146">
        <f>+NUEVO!R38-ANTIGUO!R38</f>
        <v>0</v>
      </c>
      <c r="S38" s="146">
        <f>+NUEVO!S38-ANTIGUO!S38</f>
        <v>0</v>
      </c>
      <c r="T38" s="146">
        <f>+NUEVO!T38-ANTIGUO!T38</f>
        <v>0</v>
      </c>
      <c r="U38" s="146">
        <f>+NUEVO!U38-ANTIGUO!U38</f>
        <v>0</v>
      </c>
      <c r="V38" s="146">
        <f>+NUEVO!V38-ANTIGUO!V38</f>
        <v>0</v>
      </c>
      <c r="W38" s="146">
        <f>+NUEVO!W38-ANTIGUO!W38</f>
        <v>0</v>
      </c>
      <c r="X38" s="146">
        <f>+NUEVO!X38-ANTIGUO!X38</f>
        <v>0</v>
      </c>
      <c r="Y38" s="146">
        <f>+NUEVO!Y38-ANTIGUO!Y38</f>
        <v>0</v>
      </c>
      <c r="Z38" s="146">
        <f>+NUEVO!Z38-ANTIGUO!Z38</f>
        <v>0</v>
      </c>
      <c r="AA38" s="146">
        <f>+NUEVO!AA38-ANTIGUO!AA38</f>
        <v>0</v>
      </c>
      <c r="AB38" s="146">
        <f>+NUEVO!AB38-ANTIGUO!AB38</f>
        <v>0</v>
      </c>
      <c r="AC38" s="146">
        <f>+NUEVO!AC38-ANTIGUO!AC38</f>
        <v>0</v>
      </c>
      <c r="AD38" s="146">
        <f>+NUEVO!AD38-ANTIGUO!AD38</f>
        <v>0</v>
      </c>
      <c r="AE38" s="146">
        <f>+NUEVO!AE38-ANTIGUO!AE38</f>
        <v>0</v>
      </c>
      <c r="AF38" s="146">
        <f>+NUEVO!AF38-ANTIGUO!AF38</f>
        <v>0</v>
      </c>
      <c r="AG38" s="146">
        <f>+NUEVO!AG38-ANTIGUO!AG38</f>
        <v>0</v>
      </c>
      <c r="AH38" s="146">
        <f>+NUEVO!AH38-ANTIGUO!AH38</f>
        <v>0</v>
      </c>
      <c r="AI38" s="146">
        <f>+NUEVO!AI38-ANTIGUO!AI38</f>
        <v>0</v>
      </c>
      <c r="AJ38" s="146">
        <f>+NUEVO!AJ38-ANTIGUO!AJ38</f>
        <v>0</v>
      </c>
      <c r="AK38" s="146">
        <f>+NUEVO!AK38-ANTIGUO!AK38</f>
        <v>0</v>
      </c>
      <c r="AL38" s="146">
        <f>+NUEVO!AL38-ANTIGUO!AL38</f>
        <v>0</v>
      </c>
      <c r="AM38" s="146">
        <f>+NUEVO!AM38-ANTIGUO!AM38</f>
        <v>0</v>
      </c>
      <c r="AN38" s="146">
        <f>+NUEVO!AN38-ANTIGUO!AN38</f>
        <v>0</v>
      </c>
      <c r="AO38" s="146">
        <f>+NUEVO!AO38-ANTIGUO!AO38</f>
        <v>0</v>
      </c>
      <c r="AP38" s="146">
        <f>+NUEVO!AP38-ANTIGUO!AP38</f>
        <v>0</v>
      </c>
      <c r="AQ38" s="146">
        <f>+NUEVO!AQ38-ANTIGUO!AQ38</f>
        <v>0</v>
      </c>
      <c r="AR38" s="146">
        <f>+NUEVO!AR38-ANTIGUO!AR38</f>
        <v>0</v>
      </c>
      <c r="AS38" s="146">
        <f>+NUEVO!AS38-ANTIGUO!AS38</f>
        <v>0</v>
      </c>
      <c r="AT38" s="146">
        <f>+NUEVO!AT38-ANTIGUO!AT38</f>
        <v>0</v>
      </c>
      <c r="AU38" s="146">
        <f>+NUEVO!AU38-ANTIGUO!AU38</f>
        <v>0</v>
      </c>
      <c r="AV38" s="146">
        <f>+NUEVO!AV38-ANTIGUO!AV38</f>
        <v>0</v>
      </c>
      <c r="AW38" s="146">
        <f>+NUEVO!AW38-ANTIGUO!AW38</f>
        <v>0</v>
      </c>
      <c r="AX38" s="146">
        <f>+NUEVO!AX38-ANTIGUO!AX38</f>
        <v>0</v>
      </c>
    </row>
    <row r="39" spans="1:50" ht="33" x14ac:dyDescent="0.25">
      <c r="A39" s="121" t="s">
        <v>72</v>
      </c>
      <c r="B39" s="120"/>
      <c r="C39" s="146">
        <f>+NUEVO!C39-ANTIGUO!C39</f>
        <v>125</v>
      </c>
      <c r="D39" s="146">
        <f>+NUEVO!D39-ANTIGUO!D39</f>
        <v>24</v>
      </c>
      <c r="E39" s="146">
        <f>+NUEVO!E39-ANTIGUO!E39</f>
        <v>101</v>
      </c>
      <c r="F39" s="146">
        <f>+NUEVO!F39-ANTIGUO!F39</f>
        <v>0</v>
      </c>
      <c r="G39" s="146">
        <f>+NUEVO!G39-ANTIGUO!G39</f>
        <v>0</v>
      </c>
      <c r="H39" s="146">
        <f>+NUEVO!H39-ANTIGUO!H39</f>
        <v>0</v>
      </c>
      <c r="I39" s="146">
        <f>+NUEVO!I39-ANTIGUO!I39</f>
        <v>0</v>
      </c>
      <c r="J39" s="146">
        <f>+NUEVO!J39-ANTIGUO!J39</f>
        <v>3</v>
      </c>
      <c r="K39" s="146">
        <f>+NUEVO!K39-ANTIGUO!K39</f>
        <v>0</v>
      </c>
      <c r="L39" s="146">
        <f>+NUEVO!L39-ANTIGUO!L39</f>
        <v>2</v>
      </c>
      <c r="M39" s="146">
        <f>+NUEVO!M39-ANTIGUO!M39</f>
        <v>4</v>
      </c>
      <c r="N39" s="146">
        <f>+NUEVO!N39-ANTIGUO!N39</f>
        <v>0</v>
      </c>
      <c r="O39" s="146">
        <f>+NUEVO!O39-ANTIGUO!O39</f>
        <v>3</v>
      </c>
      <c r="P39" s="146">
        <f>+NUEVO!P39-ANTIGUO!P39</f>
        <v>2</v>
      </c>
      <c r="Q39" s="146">
        <f>+NUEVO!Q39-ANTIGUO!Q39</f>
        <v>6</v>
      </c>
      <c r="R39" s="146">
        <f>+NUEVO!R39-ANTIGUO!R39</f>
        <v>2</v>
      </c>
      <c r="S39" s="146">
        <f>+NUEVO!S39-ANTIGUO!S39</f>
        <v>6</v>
      </c>
      <c r="T39" s="146">
        <f>+NUEVO!T39-ANTIGUO!T39</f>
        <v>1</v>
      </c>
      <c r="U39" s="146">
        <f>+NUEVO!U39-ANTIGUO!U39</f>
        <v>12</v>
      </c>
      <c r="V39" s="146">
        <f>+NUEVO!V39-ANTIGUO!V39</f>
        <v>0</v>
      </c>
      <c r="W39" s="146">
        <f>+NUEVO!W39-ANTIGUO!W39</f>
        <v>2</v>
      </c>
      <c r="X39" s="146">
        <f>+NUEVO!X39-ANTIGUO!X39</f>
        <v>0</v>
      </c>
      <c r="Y39" s="146">
        <f>+NUEVO!Y39-ANTIGUO!Y39</f>
        <v>4</v>
      </c>
      <c r="Z39" s="146">
        <f>+NUEVO!Z39-ANTIGUO!Z39</f>
        <v>1</v>
      </c>
      <c r="AA39" s="146">
        <f>+NUEVO!AA39-ANTIGUO!AA39</f>
        <v>6</v>
      </c>
      <c r="AB39" s="146">
        <f>+NUEVO!AB39-ANTIGUO!AB39</f>
        <v>0</v>
      </c>
      <c r="AC39" s="146">
        <f>+NUEVO!AC39-ANTIGUO!AC39</f>
        <v>12</v>
      </c>
      <c r="AD39" s="146">
        <f>+NUEVO!AD39-ANTIGUO!AD39</f>
        <v>3</v>
      </c>
      <c r="AE39" s="146">
        <f>+NUEVO!AE39-ANTIGUO!AE39</f>
        <v>14</v>
      </c>
      <c r="AF39" s="146">
        <f>+NUEVO!AF39-ANTIGUO!AF39</f>
        <v>2</v>
      </c>
      <c r="AG39" s="146">
        <f>+NUEVO!AG39-ANTIGUO!AG39</f>
        <v>12</v>
      </c>
      <c r="AH39" s="146">
        <f>+NUEVO!AH39-ANTIGUO!AH39</f>
        <v>3</v>
      </c>
      <c r="AI39" s="146">
        <f>+NUEVO!AI39-ANTIGUO!AI39</f>
        <v>5</v>
      </c>
      <c r="AJ39" s="146">
        <f>+NUEVO!AJ39-ANTIGUO!AJ39</f>
        <v>1</v>
      </c>
      <c r="AK39" s="146">
        <f>+NUEVO!AK39-ANTIGUO!AK39</f>
        <v>8</v>
      </c>
      <c r="AL39" s="146">
        <f>+NUEVO!AL39-ANTIGUO!AL39</f>
        <v>4</v>
      </c>
      <c r="AM39" s="146">
        <f>+NUEVO!AM39-ANTIGUO!AM39</f>
        <v>7</v>
      </c>
      <c r="AN39" s="146">
        <f>+NUEVO!AN39-ANTIGUO!AN39</f>
        <v>1</v>
      </c>
      <c r="AO39" s="146">
        <f>+NUEVO!AO39-ANTIGUO!AO39</f>
        <v>24</v>
      </c>
      <c r="AP39" s="146">
        <f>+NUEVO!AP39-ANTIGUO!AP39</f>
        <v>-3</v>
      </c>
      <c r="AQ39" s="146">
        <f>+NUEVO!AQ39-ANTIGUO!AQ39</f>
        <v>11</v>
      </c>
      <c r="AR39" s="146">
        <f>+NUEVO!AR39-ANTIGUO!AR39</f>
        <v>-3</v>
      </c>
      <c r="AS39" s="146">
        <f>+NUEVO!AS39-ANTIGUO!AS39</f>
        <v>0</v>
      </c>
      <c r="AT39" s="146">
        <f>+NUEVO!AT39-ANTIGUO!AT39</f>
        <v>-1</v>
      </c>
      <c r="AU39" s="146">
        <f>+NUEVO!AU39-ANTIGUO!AU39</f>
        <v>-3</v>
      </c>
      <c r="AV39" s="146">
        <f>+NUEVO!AV39-ANTIGUO!AV39</f>
        <v>0</v>
      </c>
      <c r="AW39" s="146">
        <f>+NUEVO!AW39-ANTIGUO!AW39</f>
        <v>-1</v>
      </c>
      <c r="AX39" s="146">
        <f>+NUEVO!AX39-ANTIGUO!AX39</f>
        <v>-1</v>
      </c>
    </row>
    <row r="40" spans="1:50" x14ac:dyDescent="0.25">
      <c r="A40" s="501" t="s">
        <v>73</v>
      </c>
      <c r="B40" s="501"/>
      <c r="C40" s="146">
        <f>+NUEVO!C40-ANTIGUO!C40</f>
        <v>1</v>
      </c>
      <c r="D40" s="146">
        <f>+NUEVO!D40-ANTIGUO!D40</f>
        <v>0</v>
      </c>
      <c r="E40" s="146">
        <f>+NUEVO!E40-ANTIGUO!E40</f>
        <v>1</v>
      </c>
      <c r="F40" s="146">
        <f>+NUEVO!F40-ANTIGUO!F40</f>
        <v>0</v>
      </c>
      <c r="G40" s="146">
        <f>+NUEVO!G40-ANTIGUO!G40</f>
        <v>0</v>
      </c>
      <c r="H40" s="146">
        <f>+NUEVO!H40-ANTIGUO!H40</f>
        <v>0</v>
      </c>
      <c r="I40" s="146">
        <f>+NUEVO!I40-ANTIGUO!I40</f>
        <v>0</v>
      </c>
      <c r="J40" s="146">
        <f>+NUEVO!J40-ANTIGUO!J40</f>
        <v>0</v>
      </c>
      <c r="K40" s="146">
        <f>+NUEVO!K40-ANTIGUO!K40</f>
        <v>0</v>
      </c>
      <c r="L40" s="146">
        <f>+NUEVO!L40-ANTIGUO!L40</f>
        <v>0</v>
      </c>
      <c r="M40" s="146">
        <f>+NUEVO!M40-ANTIGUO!M40</f>
        <v>0</v>
      </c>
      <c r="N40" s="146">
        <f>+NUEVO!N40-ANTIGUO!N40</f>
        <v>0</v>
      </c>
      <c r="O40" s="146">
        <f>+NUEVO!O40-ANTIGUO!O40</f>
        <v>0</v>
      </c>
      <c r="P40" s="146">
        <f>+NUEVO!P40-ANTIGUO!P40</f>
        <v>0</v>
      </c>
      <c r="Q40" s="146">
        <f>+NUEVO!Q40-ANTIGUO!Q40</f>
        <v>0</v>
      </c>
      <c r="R40" s="146">
        <f>+NUEVO!R40-ANTIGUO!R40</f>
        <v>0</v>
      </c>
      <c r="S40" s="146">
        <f>+NUEVO!S40-ANTIGUO!S40</f>
        <v>0</v>
      </c>
      <c r="T40" s="146">
        <f>+NUEVO!T40-ANTIGUO!T40</f>
        <v>0</v>
      </c>
      <c r="U40" s="146">
        <f>+NUEVO!U40-ANTIGUO!U40</f>
        <v>0</v>
      </c>
      <c r="V40" s="146">
        <f>+NUEVO!V40-ANTIGUO!V40</f>
        <v>0</v>
      </c>
      <c r="W40" s="146">
        <f>+NUEVO!W40-ANTIGUO!W40</f>
        <v>0</v>
      </c>
      <c r="X40" s="146">
        <f>+NUEVO!X40-ANTIGUO!X40</f>
        <v>0</v>
      </c>
      <c r="Y40" s="146">
        <f>+NUEVO!Y40-ANTIGUO!Y40</f>
        <v>0</v>
      </c>
      <c r="Z40" s="146">
        <f>+NUEVO!Z40-ANTIGUO!Z40</f>
        <v>0</v>
      </c>
      <c r="AA40" s="146">
        <f>+NUEVO!AA40-ANTIGUO!AA40</f>
        <v>0</v>
      </c>
      <c r="AB40" s="146">
        <f>+NUEVO!AB40-ANTIGUO!AB40</f>
        <v>0</v>
      </c>
      <c r="AC40" s="146">
        <f>+NUEVO!AC40-ANTIGUO!AC40</f>
        <v>1</v>
      </c>
      <c r="AD40" s="146">
        <f>+NUEVO!AD40-ANTIGUO!AD40</f>
        <v>0</v>
      </c>
      <c r="AE40" s="146">
        <f>+NUEVO!AE40-ANTIGUO!AE40</f>
        <v>0</v>
      </c>
      <c r="AF40" s="146">
        <f>+NUEVO!AF40-ANTIGUO!AF40</f>
        <v>0</v>
      </c>
      <c r="AG40" s="146">
        <f>+NUEVO!AG40-ANTIGUO!AG40</f>
        <v>0</v>
      </c>
      <c r="AH40" s="146">
        <f>+NUEVO!AH40-ANTIGUO!AH40</f>
        <v>0</v>
      </c>
      <c r="AI40" s="146">
        <f>+NUEVO!AI40-ANTIGUO!AI40</f>
        <v>0</v>
      </c>
      <c r="AJ40" s="146">
        <f>+NUEVO!AJ40-ANTIGUO!AJ40</f>
        <v>0</v>
      </c>
      <c r="AK40" s="146">
        <f>+NUEVO!AK40-ANTIGUO!AK40</f>
        <v>0</v>
      </c>
      <c r="AL40" s="146">
        <f>+NUEVO!AL40-ANTIGUO!AL40</f>
        <v>0</v>
      </c>
      <c r="AM40" s="146">
        <f>+NUEVO!AM40-ANTIGUO!AM40</f>
        <v>0</v>
      </c>
      <c r="AN40" s="146">
        <f>+NUEVO!AN40-ANTIGUO!AN40</f>
        <v>0</v>
      </c>
      <c r="AO40" s="146">
        <f>+NUEVO!AO40-ANTIGUO!AO40</f>
        <v>0</v>
      </c>
      <c r="AP40" s="146">
        <f>+NUEVO!AP40-ANTIGUO!AP40</f>
        <v>0</v>
      </c>
      <c r="AQ40" s="146">
        <f>+NUEVO!AQ40-ANTIGUO!AQ40</f>
        <v>0</v>
      </c>
      <c r="AR40" s="146">
        <f>+NUEVO!AR40-ANTIGUO!AR40</f>
        <v>0</v>
      </c>
      <c r="AS40" s="146">
        <f>+NUEVO!AS40-ANTIGUO!AS40</f>
        <v>0</v>
      </c>
      <c r="AT40" s="146">
        <f>+NUEVO!AT40-ANTIGUO!AT40</f>
        <v>0</v>
      </c>
      <c r="AU40" s="146">
        <f>+NUEVO!AU40-ANTIGUO!AU40</f>
        <v>0</v>
      </c>
      <c r="AV40" s="146">
        <f>+NUEVO!AV40-ANTIGUO!AV40</f>
        <v>0</v>
      </c>
      <c r="AW40" s="146">
        <f>+NUEVO!AW40-ANTIGUO!AW40</f>
        <v>0</v>
      </c>
      <c r="AX40" s="146">
        <f>+NUEVO!AX40-ANTIGUO!AX40</f>
        <v>0</v>
      </c>
    </row>
    <row r="41" spans="1:50" x14ac:dyDescent="0.25">
      <c r="A41" s="501" t="s">
        <v>74</v>
      </c>
      <c r="B41" s="501"/>
      <c r="C41" s="146">
        <f>+NUEVO!C41-ANTIGUO!C41</f>
        <v>1</v>
      </c>
      <c r="D41" s="146">
        <f>+NUEVO!D41-ANTIGUO!D41</f>
        <v>1</v>
      </c>
      <c r="E41" s="146">
        <f>+NUEVO!E41-ANTIGUO!E41</f>
        <v>0</v>
      </c>
      <c r="F41" s="146">
        <f>+NUEVO!F41-ANTIGUO!F41</f>
        <v>0</v>
      </c>
      <c r="G41" s="146">
        <f>+NUEVO!G41-ANTIGUO!G41</f>
        <v>0</v>
      </c>
      <c r="H41" s="146">
        <f>+NUEVO!H41-ANTIGUO!H41</f>
        <v>0</v>
      </c>
      <c r="I41" s="146">
        <f>+NUEVO!I41-ANTIGUO!I41</f>
        <v>0</v>
      </c>
      <c r="J41" s="146">
        <f>+NUEVO!J41-ANTIGUO!J41</f>
        <v>0</v>
      </c>
      <c r="K41" s="146">
        <f>+NUEVO!K41-ANTIGUO!K41</f>
        <v>0</v>
      </c>
      <c r="L41" s="146">
        <f>+NUEVO!L41-ANTIGUO!L41</f>
        <v>0</v>
      </c>
      <c r="M41" s="146">
        <f>+NUEVO!M41-ANTIGUO!M41</f>
        <v>0</v>
      </c>
      <c r="N41" s="146">
        <f>+NUEVO!N41-ANTIGUO!N41</f>
        <v>0</v>
      </c>
      <c r="O41" s="146">
        <f>+NUEVO!O41-ANTIGUO!O41</f>
        <v>0</v>
      </c>
      <c r="P41" s="146">
        <f>+NUEVO!P41-ANTIGUO!P41</f>
        <v>1</v>
      </c>
      <c r="Q41" s="146">
        <f>+NUEVO!Q41-ANTIGUO!Q41</f>
        <v>0</v>
      </c>
      <c r="R41" s="146">
        <f>+NUEVO!R41-ANTIGUO!R41</f>
        <v>0</v>
      </c>
      <c r="S41" s="146">
        <f>+NUEVO!S41-ANTIGUO!S41</f>
        <v>0</v>
      </c>
      <c r="T41" s="146">
        <f>+NUEVO!T41-ANTIGUO!T41</f>
        <v>0</v>
      </c>
      <c r="U41" s="146">
        <f>+NUEVO!U41-ANTIGUO!U41</f>
        <v>0</v>
      </c>
      <c r="V41" s="146">
        <f>+NUEVO!V41-ANTIGUO!V41</f>
        <v>0</v>
      </c>
      <c r="W41" s="146">
        <f>+NUEVO!W41-ANTIGUO!W41</f>
        <v>0</v>
      </c>
      <c r="X41" s="146">
        <f>+NUEVO!X41-ANTIGUO!X41</f>
        <v>0</v>
      </c>
      <c r="Y41" s="146">
        <f>+NUEVO!Y41-ANTIGUO!Y41</f>
        <v>0</v>
      </c>
      <c r="Z41" s="146">
        <f>+NUEVO!Z41-ANTIGUO!Z41</f>
        <v>0</v>
      </c>
      <c r="AA41" s="146">
        <f>+NUEVO!AA41-ANTIGUO!AA41</f>
        <v>0</v>
      </c>
      <c r="AB41" s="146">
        <f>+NUEVO!AB41-ANTIGUO!AB41</f>
        <v>0</v>
      </c>
      <c r="AC41" s="146">
        <f>+NUEVO!AC41-ANTIGUO!AC41</f>
        <v>0</v>
      </c>
      <c r="AD41" s="146">
        <f>+NUEVO!AD41-ANTIGUO!AD41</f>
        <v>0</v>
      </c>
      <c r="AE41" s="146">
        <f>+NUEVO!AE41-ANTIGUO!AE41</f>
        <v>0</v>
      </c>
      <c r="AF41" s="146">
        <f>+NUEVO!AF41-ANTIGUO!AF41</f>
        <v>0</v>
      </c>
      <c r="AG41" s="146">
        <f>+NUEVO!AG41-ANTIGUO!AG41</f>
        <v>0</v>
      </c>
      <c r="AH41" s="146">
        <f>+NUEVO!AH41-ANTIGUO!AH41</f>
        <v>0</v>
      </c>
      <c r="AI41" s="146">
        <f>+NUEVO!AI41-ANTIGUO!AI41</f>
        <v>0</v>
      </c>
      <c r="AJ41" s="146">
        <f>+NUEVO!AJ41-ANTIGUO!AJ41</f>
        <v>0</v>
      </c>
      <c r="AK41" s="146">
        <f>+NUEVO!AK41-ANTIGUO!AK41</f>
        <v>0</v>
      </c>
      <c r="AL41" s="146">
        <f>+NUEVO!AL41-ANTIGUO!AL41</f>
        <v>0</v>
      </c>
      <c r="AM41" s="146">
        <f>+NUEVO!AM41-ANTIGUO!AM41</f>
        <v>0</v>
      </c>
      <c r="AN41" s="146">
        <f>+NUEVO!AN41-ANTIGUO!AN41</f>
        <v>0</v>
      </c>
      <c r="AO41" s="146">
        <f>+NUEVO!AO41-ANTIGUO!AO41</f>
        <v>0</v>
      </c>
      <c r="AP41" s="146">
        <f>+NUEVO!AP41-ANTIGUO!AP41</f>
        <v>0</v>
      </c>
      <c r="AQ41" s="146">
        <f>+NUEVO!AQ41-ANTIGUO!AQ41</f>
        <v>0</v>
      </c>
      <c r="AR41" s="146">
        <f>+NUEVO!AR41-ANTIGUO!AR41</f>
        <v>0</v>
      </c>
      <c r="AS41" s="146">
        <f>+NUEVO!AS41-ANTIGUO!AS41</f>
        <v>0</v>
      </c>
      <c r="AT41" s="146">
        <f>+NUEVO!AT41-ANTIGUO!AT41</f>
        <v>0</v>
      </c>
      <c r="AU41" s="146">
        <f>+NUEVO!AU41-ANTIGUO!AU41</f>
        <v>0</v>
      </c>
      <c r="AV41" s="146">
        <f>+NUEVO!AV41-ANTIGUO!AV41</f>
        <v>0</v>
      </c>
      <c r="AW41" s="146">
        <f>+NUEVO!AW41-ANTIGUO!AW41</f>
        <v>0</v>
      </c>
      <c r="AX41" s="146">
        <f>+NUEVO!AX41-ANTIGUO!AX41</f>
        <v>0</v>
      </c>
    </row>
    <row r="42" spans="1:50" x14ac:dyDescent="0.25">
      <c r="A42" s="502" t="s">
        <v>75</v>
      </c>
      <c r="B42" s="502"/>
      <c r="C42" s="146">
        <f>+NUEVO!C42-ANTIGUO!C42</f>
        <v>7</v>
      </c>
      <c r="D42" s="146">
        <f>+NUEVO!D42-ANTIGUO!D42</f>
        <v>0</v>
      </c>
      <c r="E42" s="146">
        <f>+NUEVO!E42-ANTIGUO!E42</f>
        <v>7</v>
      </c>
      <c r="F42" s="146">
        <f>+NUEVO!F42-ANTIGUO!F42</f>
        <v>0</v>
      </c>
      <c r="G42" s="146">
        <f>+NUEVO!G42-ANTIGUO!G42</f>
        <v>0</v>
      </c>
      <c r="H42" s="146">
        <f>+NUEVO!H42-ANTIGUO!H42</f>
        <v>0</v>
      </c>
      <c r="I42" s="146">
        <f>+NUEVO!I42-ANTIGUO!I42</f>
        <v>0</v>
      </c>
      <c r="J42" s="146">
        <f>+NUEVO!J42-ANTIGUO!J42</f>
        <v>0</v>
      </c>
      <c r="K42" s="146">
        <f>+NUEVO!K42-ANTIGUO!K42</f>
        <v>-1</v>
      </c>
      <c r="L42" s="146">
        <f>+NUEVO!L42-ANTIGUO!L42</f>
        <v>1</v>
      </c>
      <c r="M42" s="146">
        <f>+NUEVO!M42-ANTIGUO!M42</f>
        <v>1</v>
      </c>
      <c r="N42" s="146">
        <f>+NUEVO!N42-ANTIGUO!N42</f>
        <v>0</v>
      </c>
      <c r="O42" s="146">
        <f>+NUEVO!O42-ANTIGUO!O42</f>
        <v>0</v>
      </c>
      <c r="P42" s="146">
        <f>+NUEVO!P42-ANTIGUO!P42</f>
        <v>0</v>
      </c>
      <c r="Q42" s="146">
        <f>+NUEVO!Q42-ANTIGUO!Q42</f>
        <v>2</v>
      </c>
      <c r="R42" s="146">
        <f>+NUEVO!R42-ANTIGUO!R42</f>
        <v>0</v>
      </c>
      <c r="S42" s="146">
        <f>+NUEVO!S42-ANTIGUO!S42</f>
        <v>1</v>
      </c>
      <c r="T42" s="146">
        <f>+NUEVO!T42-ANTIGUO!T42</f>
        <v>0</v>
      </c>
      <c r="U42" s="146">
        <f>+NUEVO!U42-ANTIGUO!U42</f>
        <v>2</v>
      </c>
      <c r="V42" s="146">
        <f>+NUEVO!V42-ANTIGUO!V42</f>
        <v>0</v>
      </c>
      <c r="W42" s="146">
        <f>+NUEVO!W42-ANTIGUO!W42</f>
        <v>1</v>
      </c>
      <c r="X42" s="146">
        <f>+NUEVO!X42-ANTIGUO!X42</f>
        <v>0</v>
      </c>
      <c r="Y42" s="146">
        <f>+NUEVO!Y42-ANTIGUO!Y42</f>
        <v>1</v>
      </c>
      <c r="Z42" s="146">
        <f>+NUEVO!Z42-ANTIGUO!Z42</f>
        <v>-1</v>
      </c>
      <c r="AA42" s="146">
        <f>+NUEVO!AA42-ANTIGUO!AA42</f>
        <v>2</v>
      </c>
      <c r="AB42" s="146">
        <f>+NUEVO!AB42-ANTIGUO!AB42</f>
        <v>0</v>
      </c>
      <c r="AC42" s="146">
        <f>+NUEVO!AC42-ANTIGUO!AC42</f>
        <v>-1</v>
      </c>
      <c r="AD42" s="146">
        <f>+NUEVO!AD42-ANTIGUO!AD42</f>
        <v>0</v>
      </c>
      <c r="AE42" s="146">
        <f>+NUEVO!AE42-ANTIGUO!AE42</f>
        <v>2</v>
      </c>
      <c r="AF42" s="146">
        <f>+NUEVO!AF42-ANTIGUO!AF42</f>
        <v>0</v>
      </c>
      <c r="AG42" s="146">
        <f>+NUEVO!AG42-ANTIGUO!AG42</f>
        <v>-2</v>
      </c>
      <c r="AH42" s="146">
        <f>+NUEVO!AH42-ANTIGUO!AH42</f>
        <v>0</v>
      </c>
      <c r="AI42" s="146">
        <f>+NUEVO!AI42-ANTIGUO!AI42</f>
        <v>-2</v>
      </c>
      <c r="AJ42" s="146">
        <f>+NUEVO!AJ42-ANTIGUO!AJ42</f>
        <v>0</v>
      </c>
      <c r="AK42" s="146">
        <f>+NUEVO!AK42-ANTIGUO!AK42</f>
        <v>0</v>
      </c>
      <c r="AL42" s="146">
        <f>+NUEVO!AL42-ANTIGUO!AL42</f>
        <v>0</v>
      </c>
      <c r="AM42" s="146">
        <f>+NUEVO!AM42-ANTIGUO!AM42</f>
        <v>1</v>
      </c>
      <c r="AN42" s="146">
        <f>+NUEVO!AN42-ANTIGUO!AN42</f>
        <v>1</v>
      </c>
      <c r="AO42" s="146">
        <f>+NUEVO!AO42-ANTIGUO!AO42</f>
        <v>3</v>
      </c>
      <c r="AP42" s="146">
        <f>+NUEVO!AP42-ANTIGUO!AP42</f>
        <v>0</v>
      </c>
      <c r="AQ42" s="146">
        <f>+NUEVO!AQ42-ANTIGUO!AQ42</f>
        <v>0</v>
      </c>
      <c r="AR42" s="146">
        <f>+NUEVO!AR42-ANTIGUO!AR42</f>
        <v>0</v>
      </c>
      <c r="AS42" s="146">
        <f>+NUEVO!AS42-ANTIGUO!AS42</f>
        <v>0</v>
      </c>
      <c r="AT42" s="146">
        <f>+NUEVO!AT42-ANTIGUO!AT42</f>
        <v>0</v>
      </c>
      <c r="AU42" s="146">
        <f>+NUEVO!AU42-ANTIGUO!AU42</f>
        <v>0</v>
      </c>
      <c r="AV42" s="146">
        <f>+NUEVO!AV42-ANTIGUO!AV42</f>
        <v>0</v>
      </c>
      <c r="AW42" s="146">
        <f>+NUEVO!AW42-ANTIGUO!AW42</f>
        <v>0</v>
      </c>
      <c r="AX42" s="146">
        <f>+NUEVO!AX42-ANTIGUO!AX42</f>
        <v>0</v>
      </c>
    </row>
    <row r="43" spans="1:50" x14ac:dyDescent="0.25">
      <c r="A43" s="503" t="s">
        <v>76</v>
      </c>
      <c r="B43" s="133" t="s">
        <v>77</v>
      </c>
      <c r="C43" s="146">
        <f>+NUEVO!C43-ANTIGUO!C43</f>
        <v>2</v>
      </c>
      <c r="D43" s="146">
        <f>+NUEVO!D43-ANTIGUO!D43</f>
        <v>2</v>
      </c>
      <c r="E43" s="146">
        <f>+NUEVO!E43-ANTIGUO!E43</f>
        <v>0</v>
      </c>
      <c r="F43" s="146">
        <f>+NUEVO!F43-ANTIGUO!F43</f>
        <v>0</v>
      </c>
      <c r="G43" s="146">
        <f>+NUEVO!G43-ANTIGUO!G43</f>
        <v>0</v>
      </c>
      <c r="H43" s="146">
        <f>+NUEVO!H43-ANTIGUO!H43</f>
        <v>0</v>
      </c>
      <c r="I43" s="146">
        <f>+NUEVO!I43-ANTIGUO!I43</f>
        <v>0</v>
      </c>
      <c r="J43" s="146">
        <f>+NUEVO!J43-ANTIGUO!J43</f>
        <v>0</v>
      </c>
      <c r="K43" s="146">
        <f>+NUEVO!K43-ANTIGUO!K43</f>
        <v>0</v>
      </c>
      <c r="L43" s="146">
        <f>+NUEVO!L43-ANTIGUO!L43</f>
        <v>2</v>
      </c>
      <c r="M43" s="146">
        <f>+NUEVO!M43-ANTIGUO!M43</f>
        <v>0</v>
      </c>
      <c r="N43" s="146">
        <f>+NUEVO!N43-ANTIGUO!N43</f>
        <v>0</v>
      </c>
      <c r="O43" s="146">
        <f>+NUEVO!O43-ANTIGUO!O43</f>
        <v>0</v>
      </c>
      <c r="P43" s="146">
        <f>+NUEVO!P43-ANTIGUO!P43</f>
        <v>0</v>
      </c>
      <c r="Q43" s="146">
        <f>+NUEVO!Q43-ANTIGUO!Q43</f>
        <v>0</v>
      </c>
      <c r="R43" s="146">
        <f>+NUEVO!R43-ANTIGUO!R43</f>
        <v>0</v>
      </c>
      <c r="S43" s="146">
        <f>+NUEVO!S43-ANTIGUO!S43</f>
        <v>0</v>
      </c>
      <c r="T43" s="146">
        <f>+NUEVO!T43-ANTIGUO!T43</f>
        <v>0</v>
      </c>
      <c r="U43" s="146">
        <f>+NUEVO!U43-ANTIGUO!U43</f>
        <v>0</v>
      </c>
      <c r="V43" s="146">
        <f>+NUEVO!V43-ANTIGUO!V43</f>
        <v>0</v>
      </c>
      <c r="W43" s="146">
        <f>+NUEVO!W43-ANTIGUO!W43</f>
        <v>0</v>
      </c>
      <c r="X43" s="146">
        <f>+NUEVO!X43-ANTIGUO!X43</f>
        <v>0</v>
      </c>
      <c r="Y43" s="146">
        <f>+NUEVO!Y43-ANTIGUO!Y43</f>
        <v>0</v>
      </c>
      <c r="Z43" s="146">
        <f>+NUEVO!Z43-ANTIGUO!Z43</f>
        <v>0</v>
      </c>
      <c r="AA43" s="146">
        <f>+NUEVO!AA43-ANTIGUO!AA43</f>
        <v>0</v>
      </c>
      <c r="AB43" s="146">
        <f>+NUEVO!AB43-ANTIGUO!AB43</f>
        <v>0</v>
      </c>
      <c r="AC43" s="146">
        <f>+NUEVO!AC43-ANTIGUO!AC43</f>
        <v>0</v>
      </c>
      <c r="AD43" s="146">
        <f>+NUEVO!AD43-ANTIGUO!AD43</f>
        <v>0</v>
      </c>
      <c r="AE43" s="146">
        <f>+NUEVO!AE43-ANTIGUO!AE43</f>
        <v>0</v>
      </c>
      <c r="AF43" s="146">
        <f>+NUEVO!AF43-ANTIGUO!AF43</f>
        <v>0</v>
      </c>
      <c r="AG43" s="146">
        <f>+NUEVO!AG43-ANTIGUO!AG43</f>
        <v>0</v>
      </c>
      <c r="AH43" s="146">
        <f>+NUEVO!AH43-ANTIGUO!AH43</f>
        <v>0</v>
      </c>
      <c r="AI43" s="146">
        <f>+NUEVO!AI43-ANTIGUO!AI43</f>
        <v>0</v>
      </c>
      <c r="AJ43" s="146">
        <f>+NUEVO!AJ43-ANTIGUO!AJ43</f>
        <v>0</v>
      </c>
      <c r="AK43" s="146">
        <f>+NUEVO!AK43-ANTIGUO!AK43</f>
        <v>0</v>
      </c>
      <c r="AL43" s="146">
        <f>+NUEVO!AL43-ANTIGUO!AL43</f>
        <v>0</v>
      </c>
      <c r="AM43" s="146">
        <f>+NUEVO!AM43-ANTIGUO!AM43</f>
        <v>0</v>
      </c>
      <c r="AN43" s="146">
        <f>+NUEVO!AN43-ANTIGUO!AN43</f>
        <v>0</v>
      </c>
      <c r="AO43" s="146">
        <f>+NUEVO!AO43-ANTIGUO!AO43</f>
        <v>0</v>
      </c>
      <c r="AP43" s="146">
        <f>+NUEVO!AP43-ANTIGUO!AP43</f>
        <v>0</v>
      </c>
      <c r="AQ43" s="146">
        <f>+NUEVO!AQ43-ANTIGUO!AQ43</f>
        <v>0</v>
      </c>
      <c r="AR43" s="146">
        <f>+NUEVO!AR43-ANTIGUO!AR43</f>
        <v>0</v>
      </c>
      <c r="AS43" s="146">
        <f>+NUEVO!AS43-ANTIGUO!AS43</f>
        <v>0</v>
      </c>
      <c r="AT43" s="146">
        <f>+NUEVO!AT43-ANTIGUO!AT43</f>
        <v>0</v>
      </c>
      <c r="AU43" s="146">
        <f>+NUEVO!AU43-ANTIGUO!AU43</f>
        <v>0</v>
      </c>
      <c r="AV43" s="146">
        <f>+NUEVO!AV43-ANTIGUO!AV43</f>
        <v>0</v>
      </c>
      <c r="AW43" s="146">
        <f>+NUEVO!AW43-ANTIGUO!AW43</f>
        <v>0</v>
      </c>
      <c r="AX43" s="146">
        <f>+NUEVO!AX43-ANTIGUO!AX43</f>
        <v>0</v>
      </c>
    </row>
    <row r="44" spans="1:50" x14ac:dyDescent="0.25">
      <c r="A44" s="504"/>
      <c r="B44" s="141" t="s">
        <v>78</v>
      </c>
      <c r="C44" s="146">
        <f>+NUEVO!C44-ANTIGUO!C44</f>
        <v>1</v>
      </c>
      <c r="D44" s="146">
        <f>+NUEVO!D44-ANTIGUO!D44</f>
        <v>1</v>
      </c>
      <c r="E44" s="146">
        <f>+NUEVO!E44-ANTIGUO!E44</f>
        <v>0</v>
      </c>
      <c r="F44" s="146">
        <f>+NUEVO!F44-ANTIGUO!F44</f>
        <v>0</v>
      </c>
      <c r="G44" s="146">
        <f>+NUEVO!G44-ANTIGUO!G44</f>
        <v>0</v>
      </c>
      <c r="H44" s="146">
        <f>+NUEVO!H44-ANTIGUO!H44</f>
        <v>0</v>
      </c>
      <c r="I44" s="146">
        <f>+NUEVO!I44-ANTIGUO!I44</f>
        <v>0</v>
      </c>
      <c r="J44" s="146">
        <f>+NUEVO!J44-ANTIGUO!J44</f>
        <v>0</v>
      </c>
      <c r="K44" s="146">
        <f>+NUEVO!K44-ANTIGUO!K44</f>
        <v>0</v>
      </c>
      <c r="L44" s="146">
        <f>+NUEVO!L44-ANTIGUO!L44</f>
        <v>0</v>
      </c>
      <c r="M44" s="146">
        <f>+NUEVO!M44-ANTIGUO!M44</f>
        <v>0</v>
      </c>
      <c r="N44" s="146">
        <f>+NUEVO!N44-ANTIGUO!N44</f>
        <v>1</v>
      </c>
      <c r="O44" s="146">
        <f>+NUEVO!O44-ANTIGUO!O44</f>
        <v>0</v>
      </c>
      <c r="P44" s="146">
        <f>+NUEVO!P44-ANTIGUO!P44</f>
        <v>0</v>
      </c>
      <c r="Q44" s="146">
        <f>+NUEVO!Q44-ANTIGUO!Q44</f>
        <v>0</v>
      </c>
      <c r="R44" s="146">
        <f>+NUEVO!R44-ANTIGUO!R44</f>
        <v>0</v>
      </c>
      <c r="S44" s="146">
        <f>+NUEVO!S44-ANTIGUO!S44</f>
        <v>0</v>
      </c>
      <c r="T44" s="146">
        <f>+NUEVO!T44-ANTIGUO!T44</f>
        <v>0</v>
      </c>
      <c r="U44" s="146">
        <f>+NUEVO!U44-ANTIGUO!U44</f>
        <v>0</v>
      </c>
      <c r="V44" s="146">
        <f>+NUEVO!V44-ANTIGUO!V44</f>
        <v>0</v>
      </c>
      <c r="W44" s="146">
        <f>+NUEVO!W44-ANTIGUO!W44</f>
        <v>0</v>
      </c>
      <c r="X44" s="146">
        <f>+NUEVO!X44-ANTIGUO!X44</f>
        <v>0</v>
      </c>
      <c r="Y44" s="146">
        <f>+NUEVO!Y44-ANTIGUO!Y44</f>
        <v>0</v>
      </c>
      <c r="Z44" s="146">
        <f>+NUEVO!Z44-ANTIGUO!Z44</f>
        <v>0</v>
      </c>
      <c r="AA44" s="146">
        <f>+NUEVO!AA44-ANTIGUO!AA44</f>
        <v>0</v>
      </c>
      <c r="AB44" s="146">
        <f>+NUEVO!AB44-ANTIGUO!AB44</f>
        <v>0</v>
      </c>
      <c r="AC44" s="146">
        <f>+NUEVO!AC44-ANTIGUO!AC44</f>
        <v>0</v>
      </c>
      <c r="AD44" s="146">
        <f>+NUEVO!AD44-ANTIGUO!AD44</f>
        <v>0</v>
      </c>
      <c r="AE44" s="146">
        <f>+NUEVO!AE44-ANTIGUO!AE44</f>
        <v>0</v>
      </c>
      <c r="AF44" s="146">
        <f>+NUEVO!AF44-ANTIGUO!AF44</f>
        <v>0</v>
      </c>
      <c r="AG44" s="146">
        <f>+NUEVO!AG44-ANTIGUO!AG44</f>
        <v>0</v>
      </c>
      <c r="AH44" s="146">
        <f>+NUEVO!AH44-ANTIGUO!AH44</f>
        <v>0</v>
      </c>
      <c r="AI44" s="146">
        <f>+NUEVO!AI44-ANTIGUO!AI44</f>
        <v>0</v>
      </c>
      <c r="AJ44" s="146">
        <f>+NUEVO!AJ44-ANTIGUO!AJ44</f>
        <v>0</v>
      </c>
      <c r="AK44" s="146">
        <f>+NUEVO!AK44-ANTIGUO!AK44</f>
        <v>0</v>
      </c>
      <c r="AL44" s="146">
        <f>+NUEVO!AL44-ANTIGUO!AL44</f>
        <v>0</v>
      </c>
      <c r="AM44" s="146">
        <f>+NUEVO!AM44-ANTIGUO!AM44</f>
        <v>0</v>
      </c>
      <c r="AN44" s="146">
        <f>+NUEVO!AN44-ANTIGUO!AN44</f>
        <v>0</v>
      </c>
      <c r="AO44" s="146">
        <f>+NUEVO!AO44-ANTIGUO!AO44</f>
        <v>0</v>
      </c>
      <c r="AP44" s="146">
        <f>+NUEVO!AP44-ANTIGUO!AP44</f>
        <v>0</v>
      </c>
      <c r="AQ44" s="146">
        <f>+NUEVO!AQ44-ANTIGUO!AQ44</f>
        <v>0</v>
      </c>
      <c r="AR44" s="146">
        <f>+NUEVO!AR44-ANTIGUO!AR44</f>
        <v>0</v>
      </c>
      <c r="AS44" s="146">
        <f>+NUEVO!AS44-ANTIGUO!AS44</f>
        <v>0</v>
      </c>
      <c r="AT44" s="146">
        <f>+NUEVO!AT44-ANTIGUO!AT44</f>
        <v>0</v>
      </c>
      <c r="AU44" s="146">
        <f>+NUEVO!AU44-ANTIGUO!AU44</f>
        <v>0</v>
      </c>
      <c r="AV44" s="146">
        <f>+NUEVO!AV44-ANTIGUO!AV44</f>
        <v>0</v>
      </c>
      <c r="AW44" s="146">
        <f>+NUEVO!AW44-ANTIGUO!AW44</f>
        <v>0</v>
      </c>
      <c r="AX44" s="146">
        <f>+NUEVO!AX44-ANTIGUO!AX44</f>
        <v>0</v>
      </c>
    </row>
    <row r="45" spans="1:50" x14ac:dyDescent="0.25">
      <c r="A45" s="504"/>
      <c r="B45" s="141" t="s">
        <v>79</v>
      </c>
      <c r="C45" s="146">
        <f>+NUEVO!C45-ANTIGUO!C45</f>
        <v>0</v>
      </c>
      <c r="D45" s="146">
        <f>+NUEVO!D45-ANTIGUO!D45</f>
        <v>0</v>
      </c>
      <c r="E45" s="146">
        <f>+NUEVO!E45-ANTIGUO!E45</f>
        <v>0</v>
      </c>
      <c r="F45" s="146">
        <f>+NUEVO!F45-ANTIGUO!F45</f>
        <v>0</v>
      </c>
      <c r="G45" s="146">
        <f>+NUEVO!G45-ANTIGUO!G45</f>
        <v>0</v>
      </c>
      <c r="H45" s="146">
        <f>+NUEVO!H45-ANTIGUO!H45</f>
        <v>0</v>
      </c>
      <c r="I45" s="146">
        <f>+NUEVO!I45-ANTIGUO!I45</f>
        <v>0</v>
      </c>
      <c r="J45" s="146">
        <f>+NUEVO!J45-ANTIGUO!J45</f>
        <v>0</v>
      </c>
      <c r="K45" s="146">
        <f>+NUEVO!K45-ANTIGUO!K45</f>
        <v>0</v>
      </c>
      <c r="L45" s="146">
        <f>+NUEVO!L45-ANTIGUO!L45</f>
        <v>0</v>
      </c>
      <c r="M45" s="146">
        <f>+NUEVO!M45-ANTIGUO!M45</f>
        <v>0</v>
      </c>
      <c r="N45" s="146">
        <f>+NUEVO!N45-ANTIGUO!N45</f>
        <v>0</v>
      </c>
      <c r="O45" s="146">
        <f>+NUEVO!O45-ANTIGUO!O45</f>
        <v>0</v>
      </c>
      <c r="P45" s="146">
        <f>+NUEVO!P45-ANTIGUO!P45</f>
        <v>0</v>
      </c>
      <c r="Q45" s="146">
        <f>+NUEVO!Q45-ANTIGUO!Q45</f>
        <v>0</v>
      </c>
      <c r="R45" s="146">
        <f>+NUEVO!R45-ANTIGUO!R45</f>
        <v>0</v>
      </c>
      <c r="S45" s="146">
        <f>+NUEVO!S45-ANTIGUO!S45</f>
        <v>0</v>
      </c>
      <c r="T45" s="146">
        <f>+NUEVO!T45-ANTIGUO!T45</f>
        <v>0</v>
      </c>
      <c r="U45" s="146">
        <f>+NUEVO!U45-ANTIGUO!U45</f>
        <v>0</v>
      </c>
      <c r="V45" s="146">
        <f>+NUEVO!V45-ANTIGUO!V45</f>
        <v>0</v>
      </c>
      <c r="W45" s="146">
        <f>+NUEVO!W45-ANTIGUO!W45</f>
        <v>0</v>
      </c>
      <c r="X45" s="146">
        <f>+NUEVO!X45-ANTIGUO!X45</f>
        <v>0</v>
      </c>
      <c r="Y45" s="146">
        <f>+NUEVO!Y45-ANTIGUO!Y45</f>
        <v>0</v>
      </c>
      <c r="Z45" s="146">
        <f>+NUEVO!Z45-ANTIGUO!Z45</f>
        <v>0</v>
      </c>
      <c r="AA45" s="146">
        <f>+NUEVO!AA45-ANTIGUO!AA45</f>
        <v>0</v>
      </c>
      <c r="AB45" s="146">
        <f>+NUEVO!AB45-ANTIGUO!AB45</f>
        <v>0</v>
      </c>
      <c r="AC45" s="146">
        <f>+NUEVO!AC45-ANTIGUO!AC45</f>
        <v>0</v>
      </c>
      <c r="AD45" s="146">
        <f>+NUEVO!AD45-ANTIGUO!AD45</f>
        <v>0</v>
      </c>
      <c r="AE45" s="146">
        <f>+NUEVO!AE45-ANTIGUO!AE45</f>
        <v>0</v>
      </c>
      <c r="AF45" s="146">
        <f>+NUEVO!AF45-ANTIGUO!AF45</f>
        <v>0</v>
      </c>
      <c r="AG45" s="146">
        <f>+NUEVO!AG45-ANTIGUO!AG45</f>
        <v>0</v>
      </c>
      <c r="AH45" s="146">
        <f>+NUEVO!AH45-ANTIGUO!AH45</f>
        <v>0</v>
      </c>
      <c r="AI45" s="146">
        <f>+NUEVO!AI45-ANTIGUO!AI45</f>
        <v>0</v>
      </c>
      <c r="AJ45" s="146">
        <f>+NUEVO!AJ45-ANTIGUO!AJ45</f>
        <v>0</v>
      </c>
      <c r="AK45" s="146">
        <f>+NUEVO!AK45-ANTIGUO!AK45</f>
        <v>0</v>
      </c>
      <c r="AL45" s="146">
        <f>+NUEVO!AL45-ANTIGUO!AL45</f>
        <v>0</v>
      </c>
      <c r="AM45" s="146">
        <f>+NUEVO!AM45-ANTIGUO!AM45</f>
        <v>0</v>
      </c>
      <c r="AN45" s="146">
        <f>+NUEVO!AN45-ANTIGUO!AN45</f>
        <v>0</v>
      </c>
      <c r="AO45" s="146">
        <f>+NUEVO!AO45-ANTIGUO!AO45</f>
        <v>0</v>
      </c>
      <c r="AP45" s="146">
        <f>+NUEVO!AP45-ANTIGUO!AP45</f>
        <v>0</v>
      </c>
      <c r="AQ45" s="146">
        <f>+NUEVO!AQ45-ANTIGUO!AQ45</f>
        <v>0</v>
      </c>
      <c r="AR45" s="146">
        <f>+NUEVO!AR45-ANTIGUO!AR45</f>
        <v>0</v>
      </c>
      <c r="AS45" s="146">
        <f>+NUEVO!AS45-ANTIGUO!AS45</f>
        <v>0</v>
      </c>
      <c r="AT45" s="146">
        <f>+NUEVO!AT45-ANTIGUO!AT45</f>
        <v>0</v>
      </c>
      <c r="AU45" s="146">
        <f>+NUEVO!AU45-ANTIGUO!AU45</f>
        <v>0</v>
      </c>
      <c r="AV45" s="146">
        <f>+NUEVO!AV45-ANTIGUO!AV45</f>
        <v>0</v>
      </c>
      <c r="AW45" s="146">
        <f>+NUEVO!AW45-ANTIGUO!AW45</f>
        <v>0</v>
      </c>
      <c r="AX45" s="146">
        <f>+NUEVO!AX45-ANTIGUO!AX45</f>
        <v>0</v>
      </c>
    </row>
    <row r="46" spans="1:50" ht="22.5" x14ac:dyDescent="0.25">
      <c r="A46" s="504"/>
      <c r="B46" s="141" t="s">
        <v>80</v>
      </c>
      <c r="C46" s="146">
        <f>+NUEVO!C46-ANTIGUO!C46</f>
        <v>0</v>
      </c>
      <c r="D46" s="146">
        <f>+NUEVO!D46-ANTIGUO!D46</f>
        <v>0</v>
      </c>
      <c r="E46" s="146">
        <f>+NUEVO!E46-ANTIGUO!E46</f>
        <v>0</v>
      </c>
      <c r="F46" s="146">
        <f>+NUEVO!F46-ANTIGUO!F46</f>
        <v>0</v>
      </c>
      <c r="G46" s="146">
        <f>+NUEVO!G46-ANTIGUO!G46</f>
        <v>0</v>
      </c>
      <c r="H46" s="146">
        <f>+NUEVO!H46-ANTIGUO!H46</f>
        <v>0</v>
      </c>
      <c r="I46" s="146">
        <f>+NUEVO!I46-ANTIGUO!I46</f>
        <v>0</v>
      </c>
      <c r="J46" s="146">
        <f>+NUEVO!J46-ANTIGUO!J46</f>
        <v>0</v>
      </c>
      <c r="K46" s="146">
        <f>+NUEVO!K46-ANTIGUO!K46</f>
        <v>0</v>
      </c>
      <c r="L46" s="146">
        <f>+NUEVO!L46-ANTIGUO!L46</f>
        <v>0</v>
      </c>
      <c r="M46" s="146">
        <f>+NUEVO!M46-ANTIGUO!M46</f>
        <v>0</v>
      </c>
      <c r="N46" s="146">
        <f>+NUEVO!N46-ANTIGUO!N46</f>
        <v>0</v>
      </c>
      <c r="O46" s="146">
        <f>+NUEVO!O46-ANTIGUO!O46</f>
        <v>0</v>
      </c>
      <c r="P46" s="146">
        <f>+NUEVO!P46-ANTIGUO!P46</f>
        <v>0</v>
      </c>
      <c r="Q46" s="146">
        <f>+NUEVO!Q46-ANTIGUO!Q46</f>
        <v>0</v>
      </c>
      <c r="R46" s="146">
        <f>+NUEVO!R46-ANTIGUO!R46</f>
        <v>0</v>
      </c>
      <c r="S46" s="146">
        <f>+NUEVO!S46-ANTIGUO!S46</f>
        <v>0</v>
      </c>
      <c r="T46" s="146">
        <f>+NUEVO!T46-ANTIGUO!T46</f>
        <v>0</v>
      </c>
      <c r="U46" s="146">
        <f>+NUEVO!U46-ANTIGUO!U46</f>
        <v>0</v>
      </c>
      <c r="V46" s="146">
        <f>+NUEVO!V46-ANTIGUO!V46</f>
        <v>0</v>
      </c>
      <c r="W46" s="146">
        <f>+NUEVO!W46-ANTIGUO!W46</f>
        <v>0</v>
      </c>
      <c r="X46" s="146">
        <f>+NUEVO!X46-ANTIGUO!X46</f>
        <v>0</v>
      </c>
      <c r="Y46" s="146">
        <f>+NUEVO!Y46-ANTIGUO!Y46</f>
        <v>0</v>
      </c>
      <c r="Z46" s="146">
        <f>+NUEVO!Z46-ANTIGUO!Z46</f>
        <v>0</v>
      </c>
      <c r="AA46" s="146">
        <f>+NUEVO!AA46-ANTIGUO!AA46</f>
        <v>0</v>
      </c>
      <c r="AB46" s="146">
        <f>+NUEVO!AB46-ANTIGUO!AB46</f>
        <v>0</v>
      </c>
      <c r="AC46" s="146">
        <f>+NUEVO!AC46-ANTIGUO!AC46</f>
        <v>0</v>
      </c>
      <c r="AD46" s="146">
        <f>+NUEVO!AD46-ANTIGUO!AD46</f>
        <v>0</v>
      </c>
      <c r="AE46" s="146">
        <f>+NUEVO!AE46-ANTIGUO!AE46</f>
        <v>0</v>
      </c>
      <c r="AF46" s="146">
        <f>+NUEVO!AF46-ANTIGUO!AF46</f>
        <v>0</v>
      </c>
      <c r="AG46" s="146">
        <f>+NUEVO!AG46-ANTIGUO!AG46</f>
        <v>0</v>
      </c>
      <c r="AH46" s="146">
        <f>+NUEVO!AH46-ANTIGUO!AH46</f>
        <v>0</v>
      </c>
      <c r="AI46" s="146">
        <f>+NUEVO!AI46-ANTIGUO!AI46</f>
        <v>0</v>
      </c>
      <c r="AJ46" s="146">
        <f>+NUEVO!AJ46-ANTIGUO!AJ46</f>
        <v>0</v>
      </c>
      <c r="AK46" s="146">
        <f>+NUEVO!AK46-ANTIGUO!AK46</f>
        <v>0</v>
      </c>
      <c r="AL46" s="146">
        <f>+NUEVO!AL46-ANTIGUO!AL46</f>
        <v>0</v>
      </c>
      <c r="AM46" s="146">
        <f>+NUEVO!AM46-ANTIGUO!AM46</f>
        <v>0</v>
      </c>
      <c r="AN46" s="146">
        <f>+NUEVO!AN46-ANTIGUO!AN46</f>
        <v>0</v>
      </c>
      <c r="AO46" s="146">
        <f>+NUEVO!AO46-ANTIGUO!AO46</f>
        <v>0</v>
      </c>
      <c r="AP46" s="146">
        <f>+NUEVO!AP46-ANTIGUO!AP46</f>
        <v>0</v>
      </c>
      <c r="AQ46" s="146">
        <f>+NUEVO!AQ46-ANTIGUO!AQ46</f>
        <v>0</v>
      </c>
      <c r="AR46" s="146">
        <f>+NUEVO!AR46-ANTIGUO!AR46</f>
        <v>0</v>
      </c>
      <c r="AS46" s="146">
        <f>+NUEVO!AS46-ANTIGUO!AS46</f>
        <v>0</v>
      </c>
      <c r="AT46" s="146">
        <f>+NUEVO!AT46-ANTIGUO!AT46</f>
        <v>0</v>
      </c>
      <c r="AU46" s="146">
        <f>+NUEVO!AU46-ANTIGUO!AU46</f>
        <v>0</v>
      </c>
      <c r="AV46" s="146">
        <f>+NUEVO!AV46-ANTIGUO!AV46</f>
        <v>0</v>
      </c>
      <c r="AW46" s="146">
        <f>+NUEVO!AW46-ANTIGUO!AW46</f>
        <v>0</v>
      </c>
      <c r="AX46" s="146">
        <f>+NUEVO!AX46-ANTIGUO!AX46</f>
        <v>0</v>
      </c>
    </row>
    <row r="47" spans="1:50" ht="22.5" x14ac:dyDescent="0.25">
      <c r="A47" s="505"/>
      <c r="B47" s="142" t="s">
        <v>81</v>
      </c>
      <c r="C47" s="146">
        <f>+NUEVO!C47-ANTIGUO!C47</f>
        <v>0</v>
      </c>
      <c r="D47" s="146">
        <f>+NUEVO!D47-ANTIGUO!D47</f>
        <v>0</v>
      </c>
      <c r="E47" s="146">
        <f>+NUEVO!E47-ANTIGUO!E47</f>
        <v>0</v>
      </c>
      <c r="F47" s="146">
        <f>+NUEVO!F47-ANTIGUO!F47</f>
        <v>0</v>
      </c>
      <c r="G47" s="146">
        <f>+NUEVO!G47-ANTIGUO!G47</f>
        <v>0</v>
      </c>
      <c r="H47" s="146">
        <f>+NUEVO!H47-ANTIGUO!H47</f>
        <v>0</v>
      </c>
      <c r="I47" s="146">
        <f>+NUEVO!I47-ANTIGUO!I47</f>
        <v>0</v>
      </c>
      <c r="J47" s="146">
        <f>+NUEVO!J47-ANTIGUO!J47</f>
        <v>0</v>
      </c>
      <c r="K47" s="146">
        <f>+NUEVO!K47-ANTIGUO!K47</f>
        <v>0</v>
      </c>
      <c r="L47" s="146">
        <f>+NUEVO!L47-ANTIGUO!L47</f>
        <v>0</v>
      </c>
      <c r="M47" s="146">
        <f>+NUEVO!M47-ANTIGUO!M47</f>
        <v>0</v>
      </c>
      <c r="N47" s="146">
        <f>+NUEVO!N47-ANTIGUO!N47</f>
        <v>0</v>
      </c>
      <c r="O47" s="146">
        <f>+NUEVO!O47-ANTIGUO!O47</f>
        <v>0</v>
      </c>
      <c r="P47" s="146">
        <f>+NUEVO!P47-ANTIGUO!P47</f>
        <v>0</v>
      </c>
      <c r="Q47" s="146">
        <f>+NUEVO!Q47-ANTIGUO!Q47</f>
        <v>0</v>
      </c>
      <c r="R47" s="146">
        <f>+NUEVO!R47-ANTIGUO!R47</f>
        <v>0</v>
      </c>
      <c r="S47" s="146">
        <f>+NUEVO!S47-ANTIGUO!S47</f>
        <v>0</v>
      </c>
      <c r="T47" s="146">
        <f>+NUEVO!T47-ANTIGUO!T47</f>
        <v>0</v>
      </c>
      <c r="U47" s="146">
        <f>+NUEVO!U47-ANTIGUO!U47</f>
        <v>0</v>
      </c>
      <c r="V47" s="146">
        <f>+NUEVO!V47-ANTIGUO!V47</f>
        <v>0</v>
      </c>
      <c r="W47" s="146">
        <f>+NUEVO!W47-ANTIGUO!W47</f>
        <v>0</v>
      </c>
      <c r="X47" s="146">
        <f>+NUEVO!X47-ANTIGUO!X47</f>
        <v>0</v>
      </c>
      <c r="Y47" s="146">
        <f>+NUEVO!Y47-ANTIGUO!Y47</f>
        <v>0</v>
      </c>
      <c r="Z47" s="146">
        <f>+NUEVO!Z47-ANTIGUO!Z47</f>
        <v>0</v>
      </c>
      <c r="AA47" s="146">
        <f>+NUEVO!AA47-ANTIGUO!AA47</f>
        <v>0</v>
      </c>
      <c r="AB47" s="146">
        <f>+NUEVO!AB47-ANTIGUO!AB47</f>
        <v>0</v>
      </c>
      <c r="AC47" s="146">
        <f>+NUEVO!AC47-ANTIGUO!AC47</f>
        <v>0</v>
      </c>
      <c r="AD47" s="146">
        <f>+NUEVO!AD47-ANTIGUO!AD47</f>
        <v>0</v>
      </c>
      <c r="AE47" s="146">
        <f>+NUEVO!AE47-ANTIGUO!AE47</f>
        <v>0</v>
      </c>
      <c r="AF47" s="146">
        <f>+NUEVO!AF47-ANTIGUO!AF47</f>
        <v>0</v>
      </c>
      <c r="AG47" s="146">
        <f>+NUEVO!AG47-ANTIGUO!AG47</f>
        <v>0</v>
      </c>
      <c r="AH47" s="146">
        <f>+NUEVO!AH47-ANTIGUO!AH47</f>
        <v>0</v>
      </c>
      <c r="AI47" s="146">
        <f>+NUEVO!AI47-ANTIGUO!AI47</f>
        <v>0</v>
      </c>
      <c r="AJ47" s="146">
        <f>+NUEVO!AJ47-ANTIGUO!AJ47</f>
        <v>0</v>
      </c>
      <c r="AK47" s="146">
        <f>+NUEVO!AK47-ANTIGUO!AK47</f>
        <v>0</v>
      </c>
      <c r="AL47" s="146">
        <f>+NUEVO!AL47-ANTIGUO!AL47</f>
        <v>0</v>
      </c>
      <c r="AM47" s="146">
        <f>+NUEVO!AM47-ANTIGUO!AM47</f>
        <v>0</v>
      </c>
      <c r="AN47" s="146">
        <f>+NUEVO!AN47-ANTIGUO!AN47</f>
        <v>0</v>
      </c>
      <c r="AO47" s="146">
        <f>+NUEVO!AO47-ANTIGUO!AO47</f>
        <v>0</v>
      </c>
      <c r="AP47" s="146">
        <f>+NUEVO!AP47-ANTIGUO!AP47</f>
        <v>0</v>
      </c>
      <c r="AQ47" s="146">
        <f>+NUEVO!AQ47-ANTIGUO!AQ47</f>
        <v>0</v>
      </c>
      <c r="AR47" s="146">
        <f>+NUEVO!AR47-ANTIGUO!AR47</f>
        <v>0</v>
      </c>
      <c r="AS47" s="146">
        <f>+NUEVO!AS47-ANTIGUO!AS47</f>
        <v>0</v>
      </c>
      <c r="AT47" s="146">
        <f>+NUEVO!AT47-ANTIGUO!AT47</f>
        <v>0</v>
      </c>
      <c r="AU47" s="146">
        <f>+NUEVO!AU47-ANTIGUO!AU47</f>
        <v>0</v>
      </c>
      <c r="AV47" s="146">
        <f>+NUEVO!AV47-ANTIGUO!AV47</f>
        <v>0</v>
      </c>
      <c r="AW47" s="146">
        <f>+NUEVO!AW47-ANTIGUO!AW47</f>
        <v>0</v>
      </c>
      <c r="AX47" s="146">
        <f>+NUEVO!AX47-ANTIGUO!AX47</f>
        <v>0</v>
      </c>
    </row>
    <row r="48" spans="1:50" x14ac:dyDescent="0.25">
      <c r="A48" s="143" t="s">
        <v>82</v>
      </c>
      <c r="B48" s="144"/>
      <c r="C48" s="146">
        <f>+NUEVO!C48-ANTIGUO!C48</f>
        <v>0</v>
      </c>
      <c r="D48" s="146">
        <f>+NUEVO!D48-ANTIGUO!D48</f>
        <v>0</v>
      </c>
      <c r="E48" s="146">
        <f>+NUEVO!E48-ANTIGUO!E48</f>
        <v>0</v>
      </c>
      <c r="F48" s="146">
        <f>+NUEVO!F48-ANTIGUO!F48</f>
        <v>0</v>
      </c>
      <c r="G48" s="146">
        <f>+NUEVO!G48-ANTIGUO!G48</f>
        <v>0</v>
      </c>
      <c r="H48" s="146">
        <f>+NUEVO!H48-ANTIGUO!H48</f>
        <v>0</v>
      </c>
      <c r="I48" s="146">
        <f>+NUEVO!I48-ANTIGUO!I48</f>
        <v>0</v>
      </c>
      <c r="J48" s="146">
        <f>+NUEVO!J48-ANTIGUO!J48</f>
        <v>0</v>
      </c>
      <c r="K48" s="146">
        <f>+NUEVO!K48-ANTIGUO!K48</f>
        <v>0</v>
      </c>
      <c r="L48" s="146">
        <f>+NUEVO!L48-ANTIGUO!L48</f>
        <v>0</v>
      </c>
      <c r="M48" s="146">
        <f>+NUEVO!M48-ANTIGUO!M48</f>
        <v>0</v>
      </c>
      <c r="N48" s="146">
        <f>+NUEVO!N48-ANTIGUO!N48</f>
        <v>0</v>
      </c>
      <c r="O48" s="146">
        <f>+NUEVO!O48-ANTIGUO!O48</f>
        <v>0</v>
      </c>
      <c r="P48" s="146">
        <f>+NUEVO!P48-ANTIGUO!P48</f>
        <v>0</v>
      </c>
      <c r="Q48" s="146">
        <f>+NUEVO!Q48-ANTIGUO!Q48</f>
        <v>0</v>
      </c>
      <c r="R48" s="146">
        <f>+NUEVO!R48-ANTIGUO!R48</f>
        <v>0</v>
      </c>
      <c r="S48" s="146">
        <f>+NUEVO!S48-ANTIGUO!S48</f>
        <v>0</v>
      </c>
      <c r="T48" s="146">
        <f>+NUEVO!T48-ANTIGUO!T48</f>
        <v>0</v>
      </c>
      <c r="U48" s="146">
        <f>+NUEVO!U48-ANTIGUO!U48</f>
        <v>0</v>
      </c>
      <c r="V48" s="146">
        <f>+NUEVO!V48-ANTIGUO!V48</f>
        <v>0</v>
      </c>
      <c r="W48" s="146">
        <f>+NUEVO!W48-ANTIGUO!W48</f>
        <v>0</v>
      </c>
      <c r="X48" s="146">
        <f>+NUEVO!X48-ANTIGUO!X48</f>
        <v>0</v>
      </c>
      <c r="Y48" s="146">
        <f>+NUEVO!Y48-ANTIGUO!Y48</f>
        <v>0</v>
      </c>
      <c r="Z48" s="146">
        <f>+NUEVO!Z48-ANTIGUO!Z48</f>
        <v>0</v>
      </c>
      <c r="AA48" s="146">
        <f>+NUEVO!AA48-ANTIGUO!AA48</f>
        <v>0</v>
      </c>
      <c r="AB48" s="146">
        <f>+NUEVO!AB48-ANTIGUO!AB48</f>
        <v>0</v>
      </c>
      <c r="AC48" s="146">
        <f>+NUEVO!AC48-ANTIGUO!AC48</f>
        <v>0</v>
      </c>
      <c r="AD48" s="146">
        <f>+NUEVO!AD48-ANTIGUO!AD48</f>
        <v>0</v>
      </c>
      <c r="AE48" s="146">
        <f>+NUEVO!AE48-ANTIGUO!AE48</f>
        <v>0</v>
      </c>
      <c r="AF48" s="146">
        <f>+NUEVO!AF48-ANTIGUO!AF48</f>
        <v>0</v>
      </c>
      <c r="AG48" s="146">
        <f>+NUEVO!AG48-ANTIGUO!AG48</f>
        <v>0</v>
      </c>
      <c r="AH48" s="146">
        <f>+NUEVO!AH48-ANTIGUO!AH48</f>
        <v>0</v>
      </c>
      <c r="AI48" s="146">
        <f>+NUEVO!AI48-ANTIGUO!AI48</f>
        <v>0</v>
      </c>
      <c r="AJ48" s="146">
        <f>+NUEVO!AJ48-ANTIGUO!AJ48</f>
        <v>0</v>
      </c>
      <c r="AK48" s="146">
        <f>+NUEVO!AK48-ANTIGUO!AK48</f>
        <v>0</v>
      </c>
      <c r="AL48" s="146">
        <f>+NUEVO!AL48-ANTIGUO!AL48</f>
        <v>0</v>
      </c>
      <c r="AM48" s="146">
        <f>+NUEVO!AM48-ANTIGUO!AM48</f>
        <v>0</v>
      </c>
      <c r="AN48" s="146">
        <f>+NUEVO!AN48-ANTIGUO!AN48</f>
        <v>0</v>
      </c>
      <c r="AO48" s="146">
        <f>+NUEVO!AO48-ANTIGUO!AO48</f>
        <v>0</v>
      </c>
      <c r="AP48" s="146">
        <f>+NUEVO!AP48-ANTIGUO!AP48</f>
        <v>0</v>
      </c>
      <c r="AQ48" s="146">
        <f>+NUEVO!AQ48-ANTIGUO!AQ48</f>
        <v>0</v>
      </c>
      <c r="AR48" s="146">
        <f>+NUEVO!AR48-ANTIGUO!AR48</f>
        <v>0</v>
      </c>
      <c r="AS48" s="146">
        <f>+NUEVO!AS48-ANTIGUO!AS48</f>
        <v>0</v>
      </c>
      <c r="AT48" s="146">
        <f>+NUEVO!AT48-ANTIGUO!AT48</f>
        <v>0</v>
      </c>
      <c r="AU48" s="146">
        <f>+NUEVO!AU48-ANTIGUO!AU48</f>
        <v>0</v>
      </c>
      <c r="AV48" s="146">
        <f>+NUEVO!AV48-ANTIGUO!AV48</f>
        <v>0</v>
      </c>
      <c r="AW48" s="146">
        <f>+NUEVO!AW48-ANTIGUO!AW48</f>
        <v>0</v>
      </c>
      <c r="AX48" s="146">
        <f>+NUEVO!AX48-ANTIGUO!AX48</f>
        <v>0</v>
      </c>
    </row>
    <row r="49" spans="1:50" x14ac:dyDescent="0.25">
      <c r="A49" s="484" t="s">
        <v>83</v>
      </c>
      <c r="B49" s="498"/>
      <c r="C49" s="146">
        <f>+NUEVO!C49-ANTIGUO!C49</f>
        <v>62</v>
      </c>
      <c r="D49" s="146">
        <f>+NUEVO!D49-ANTIGUO!D49</f>
        <v>16</v>
      </c>
      <c r="E49" s="146">
        <f>+NUEVO!E49-ANTIGUO!E49</f>
        <v>46</v>
      </c>
      <c r="F49" s="146">
        <f>+NUEVO!F49-ANTIGUO!F49</f>
        <v>0</v>
      </c>
      <c r="G49" s="146">
        <f>+NUEVO!G49-ANTIGUO!G49</f>
        <v>0</v>
      </c>
      <c r="H49" s="146">
        <f>+NUEVO!H49-ANTIGUO!H49</f>
        <v>0</v>
      </c>
      <c r="I49" s="146">
        <f>+NUEVO!I49-ANTIGUO!I49</f>
        <v>0</v>
      </c>
      <c r="J49" s="146">
        <f>+NUEVO!J49-ANTIGUO!J49</f>
        <v>1</v>
      </c>
      <c r="K49" s="146">
        <f>+NUEVO!K49-ANTIGUO!K49</f>
        <v>0</v>
      </c>
      <c r="L49" s="146">
        <f>+NUEVO!L49-ANTIGUO!L49</f>
        <v>0</v>
      </c>
      <c r="M49" s="146">
        <f>+NUEVO!M49-ANTIGUO!M49</f>
        <v>3</v>
      </c>
      <c r="N49" s="146">
        <f>+NUEVO!N49-ANTIGUO!N49</f>
        <v>1</v>
      </c>
      <c r="O49" s="146">
        <f>+NUEVO!O49-ANTIGUO!O49</f>
        <v>0</v>
      </c>
      <c r="P49" s="146">
        <f>+NUEVO!P49-ANTIGUO!P49</f>
        <v>2</v>
      </c>
      <c r="Q49" s="146">
        <f>+NUEVO!Q49-ANTIGUO!Q49</f>
        <v>6</v>
      </c>
      <c r="R49" s="146">
        <f>+NUEVO!R49-ANTIGUO!R49</f>
        <v>0</v>
      </c>
      <c r="S49" s="146">
        <f>+NUEVO!S49-ANTIGUO!S49</f>
        <v>3</v>
      </c>
      <c r="T49" s="146">
        <f>+NUEVO!T49-ANTIGUO!T49</f>
        <v>3</v>
      </c>
      <c r="U49" s="146">
        <f>+NUEVO!U49-ANTIGUO!U49</f>
        <v>5</v>
      </c>
      <c r="V49" s="146">
        <f>+NUEVO!V49-ANTIGUO!V49</f>
        <v>-1</v>
      </c>
      <c r="W49" s="146">
        <f>+NUEVO!W49-ANTIGUO!W49</f>
        <v>2</v>
      </c>
      <c r="X49" s="146">
        <f>+NUEVO!X49-ANTIGUO!X49</f>
        <v>0</v>
      </c>
      <c r="Y49" s="146">
        <f>+NUEVO!Y49-ANTIGUO!Y49</f>
        <v>1</v>
      </c>
      <c r="Z49" s="146">
        <f>+NUEVO!Z49-ANTIGUO!Z49</f>
        <v>2</v>
      </c>
      <c r="AA49" s="146">
        <f>+NUEVO!AA49-ANTIGUO!AA49</f>
        <v>3</v>
      </c>
      <c r="AB49" s="146">
        <f>+NUEVO!AB49-ANTIGUO!AB49</f>
        <v>0</v>
      </c>
      <c r="AC49" s="146">
        <f>+NUEVO!AC49-ANTIGUO!AC49</f>
        <v>6</v>
      </c>
      <c r="AD49" s="146">
        <f>+NUEVO!AD49-ANTIGUO!AD49</f>
        <v>0</v>
      </c>
      <c r="AE49" s="146">
        <f>+NUEVO!AE49-ANTIGUO!AE49</f>
        <v>4</v>
      </c>
      <c r="AF49" s="146">
        <f>+NUEVO!AF49-ANTIGUO!AF49</f>
        <v>3</v>
      </c>
      <c r="AG49" s="146">
        <f>+NUEVO!AG49-ANTIGUO!AG49</f>
        <v>5</v>
      </c>
      <c r="AH49" s="146">
        <f>+NUEVO!AH49-ANTIGUO!AH49</f>
        <v>2</v>
      </c>
      <c r="AI49" s="146">
        <f>+NUEVO!AI49-ANTIGUO!AI49</f>
        <v>3</v>
      </c>
      <c r="AJ49" s="146">
        <f>+NUEVO!AJ49-ANTIGUO!AJ49</f>
        <v>0</v>
      </c>
      <c r="AK49" s="146">
        <f>+NUEVO!AK49-ANTIGUO!AK49</f>
        <v>4</v>
      </c>
      <c r="AL49" s="146">
        <f>+NUEVO!AL49-ANTIGUO!AL49</f>
        <v>3</v>
      </c>
      <c r="AM49" s="146">
        <f>+NUEVO!AM49-ANTIGUO!AM49</f>
        <v>1</v>
      </c>
      <c r="AN49" s="146">
        <f>+NUEVO!AN49-ANTIGUO!AN49</f>
        <v>-1</v>
      </c>
      <c r="AO49" s="146">
        <f>+NUEVO!AO49-ANTIGUO!AO49</f>
        <v>4</v>
      </c>
      <c r="AP49" s="146">
        <f>+NUEVO!AP49-ANTIGUO!AP49</f>
        <v>1</v>
      </c>
      <c r="AQ49" s="146">
        <f>+NUEVO!AQ49-ANTIGUO!AQ49</f>
        <v>1</v>
      </c>
      <c r="AR49" s="146">
        <f>+NUEVO!AR49-ANTIGUO!AR49</f>
        <v>0</v>
      </c>
      <c r="AS49" s="146">
        <f>+NUEVO!AS49-ANTIGUO!AS49</f>
        <v>-1</v>
      </c>
      <c r="AT49" s="146">
        <f>+NUEVO!AT49-ANTIGUO!AT49</f>
        <v>0</v>
      </c>
      <c r="AU49" s="146">
        <f>+NUEVO!AU49-ANTIGUO!AU49</f>
        <v>0</v>
      </c>
      <c r="AV49" s="146">
        <f>+NUEVO!AV49-ANTIGUO!AV49</f>
        <v>0</v>
      </c>
      <c r="AW49" s="146">
        <f>+NUEVO!AW49-ANTIGUO!AW49</f>
        <v>2</v>
      </c>
      <c r="AX49" s="146">
        <f>+NUEVO!AX49-ANTIGUO!AX49</f>
        <v>0</v>
      </c>
    </row>
    <row r="50" spans="1:50" x14ac:dyDescent="0.25">
      <c r="A50" s="146"/>
      <c r="B50" s="146"/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</row>
    <row r="51" spans="1:50" x14ac:dyDescent="0.25">
      <c r="A51" s="146"/>
      <c r="B51" s="146"/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  <c r="AB51" s="146"/>
      <c r="AC51" s="146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</row>
    <row r="52" spans="1:50" x14ac:dyDescent="0.25">
      <c r="A52" s="146"/>
      <c r="B52" s="146"/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</row>
    <row r="53" spans="1:50" x14ac:dyDescent="0.25">
      <c r="A53" s="146"/>
      <c r="B53" s="146"/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</row>
    <row r="54" spans="1:50" x14ac:dyDescent="0.25">
      <c r="A54" s="146"/>
      <c r="B54" s="146"/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</row>
  </sheetData>
  <mergeCells count="18">
    <mergeCell ref="A49:B49"/>
    <mergeCell ref="A35:A37"/>
    <mergeCell ref="A38:B38"/>
    <mergeCell ref="A40:B40"/>
    <mergeCell ref="A41:B41"/>
    <mergeCell ref="A42:B42"/>
    <mergeCell ref="A43:A47"/>
    <mergeCell ref="A1:B3"/>
    <mergeCell ref="A30:A34"/>
    <mergeCell ref="A4:B4"/>
    <mergeCell ref="A5:B5"/>
    <mergeCell ref="A6:A7"/>
    <mergeCell ref="A12:B12"/>
    <mergeCell ref="A13:A14"/>
    <mergeCell ref="A15:B15"/>
    <mergeCell ref="A16:A20"/>
    <mergeCell ref="A21:A25"/>
    <mergeCell ref="A26:A29"/>
  </mergeCells>
  <pageMargins left="0.7" right="0.7" top="0.75" bottom="0.75" header="0.3" footer="0.3"/>
  <ignoredErrors>
    <ignoredError sqref="C4:AX4 C12:AX49 C6:C7 F6:G7" calculatedColumn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BG52"/>
  <sheetViews>
    <sheetView zoomScale="70" zoomScaleNormal="70" workbookViewId="0">
      <pane xSplit="2" ySplit="3" topLeftCell="C15" activePane="bottomRight" state="frozen"/>
      <selection pane="topRight" activeCell="C1" sqref="C1"/>
      <selection pane="bottomLeft" activeCell="A4" sqref="A4"/>
      <selection pane="bottomRight" activeCell="F4" sqref="F4:AW4"/>
    </sheetView>
  </sheetViews>
  <sheetFormatPr baseColWidth="10" defaultRowHeight="15" x14ac:dyDescent="0.25"/>
  <cols>
    <col min="14" max="14" width="12.42578125" customWidth="1"/>
    <col min="15" max="15" width="11.5703125" customWidth="1"/>
    <col min="16" max="16" width="12.42578125" customWidth="1"/>
    <col min="17" max="17" width="11.5703125" customWidth="1"/>
    <col min="18" max="18" width="12.42578125" customWidth="1"/>
    <col min="19" max="19" width="11.5703125" customWidth="1"/>
    <col min="20" max="20" width="12.42578125" customWidth="1"/>
    <col min="21" max="21" width="11.5703125" customWidth="1"/>
    <col min="22" max="22" width="12.42578125" customWidth="1"/>
    <col min="23" max="23" width="11.5703125" customWidth="1"/>
    <col min="24" max="24" width="12.42578125" customWidth="1"/>
    <col min="25" max="25" width="11.5703125" customWidth="1"/>
    <col min="26" max="26" width="12.42578125" customWidth="1"/>
    <col min="27" max="27" width="11.5703125" customWidth="1"/>
    <col min="28" max="28" width="12.42578125" customWidth="1"/>
    <col min="29" max="29" width="11.5703125" customWidth="1"/>
    <col min="30" max="30" width="12.42578125" customWidth="1"/>
    <col min="31" max="31" width="11.5703125" customWidth="1"/>
    <col min="33" max="33" width="11.5703125" customWidth="1"/>
    <col min="34" max="34" width="13" customWidth="1"/>
    <col min="35" max="35" width="11.5703125" customWidth="1"/>
    <col min="36" max="36" width="13" customWidth="1"/>
    <col min="37" max="37" width="11.5703125" customWidth="1"/>
    <col min="38" max="38" width="12.42578125" customWidth="1"/>
    <col min="39" max="39" width="11.5703125" customWidth="1"/>
  </cols>
  <sheetData>
    <row r="1" spans="1:59" ht="15" customHeight="1" x14ac:dyDescent="0.25">
      <c r="A1" s="466" t="s">
        <v>0</v>
      </c>
      <c r="B1" s="467"/>
      <c r="C1" s="472" t="s">
        <v>1</v>
      </c>
      <c r="D1" s="472"/>
      <c r="E1" s="472"/>
      <c r="F1" s="472" t="s">
        <v>2</v>
      </c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  <c r="Y1" s="472"/>
      <c r="Z1" s="472"/>
      <c r="AA1" s="472"/>
      <c r="AB1" s="472"/>
      <c r="AC1" s="472"/>
      <c r="AD1" s="472"/>
      <c r="AE1" s="472"/>
      <c r="AF1" s="472"/>
      <c r="AG1" s="472"/>
      <c r="AH1" s="472"/>
      <c r="AI1" s="472"/>
      <c r="AJ1" s="472"/>
      <c r="AK1" s="472"/>
      <c r="AL1" s="472"/>
      <c r="AM1" s="473"/>
      <c r="AN1" s="458" t="s">
        <v>3</v>
      </c>
      <c r="AO1" s="461" t="s">
        <v>4</v>
      </c>
      <c r="AP1" s="428" t="s">
        <v>5</v>
      </c>
      <c r="AQ1" s="429"/>
      <c r="AZ1" t="s">
        <v>185</v>
      </c>
      <c r="BA1" s="428" t="s">
        <v>6</v>
      </c>
      <c r="BB1" s="429"/>
      <c r="BC1" s="416" t="s">
        <v>7</v>
      </c>
      <c r="BD1" s="416" t="s">
        <v>8</v>
      </c>
      <c r="BE1" s="416" t="s">
        <v>9</v>
      </c>
      <c r="BF1" s="415" t="s">
        <v>10</v>
      </c>
      <c r="BG1" s="416"/>
    </row>
    <row r="2" spans="1:59" x14ac:dyDescent="0.25">
      <c r="A2" s="468"/>
      <c r="B2" s="469"/>
      <c r="C2" s="472"/>
      <c r="D2" s="472"/>
      <c r="E2" s="472"/>
      <c r="F2" s="487" t="s">
        <v>11</v>
      </c>
      <c r="G2" s="473"/>
      <c r="H2" s="472" t="s">
        <v>12</v>
      </c>
      <c r="I2" s="473"/>
      <c r="J2" s="464" t="s">
        <v>13</v>
      </c>
      <c r="K2" s="465"/>
      <c r="L2" s="464" t="s">
        <v>14</v>
      </c>
      <c r="M2" s="465"/>
      <c r="N2" s="464" t="s">
        <v>15</v>
      </c>
      <c r="O2" s="465"/>
      <c r="P2" s="464" t="s">
        <v>16</v>
      </c>
      <c r="Q2" s="465"/>
      <c r="R2" s="464" t="s">
        <v>17</v>
      </c>
      <c r="S2" s="465"/>
      <c r="T2" s="464" t="s">
        <v>18</v>
      </c>
      <c r="U2" s="465"/>
      <c r="V2" s="464" t="s">
        <v>19</v>
      </c>
      <c r="W2" s="465"/>
      <c r="X2" s="464" t="s">
        <v>20</v>
      </c>
      <c r="Y2" s="465"/>
      <c r="Z2" s="464" t="s">
        <v>21</v>
      </c>
      <c r="AA2" s="465"/>
      <c r="AB2" s="464" t="s">
        <v>22</v>
      </c>
      <c r="AC2" s="465"/>
      <c r="AD2" s="464" t="s">
        <v>23</v>
      </c>
      <c r="AE2" s="465"/>
      <c r="AF2" s="476" t="s">
        <v>24</v>
      </c>
      <c r="AG2" s="477"/>
      <c r="AH2" s="476" t="s">
        <v>25</v>
      </c>
      <c r="AI2" s="477"/>
      <c r="AJ2" s="476" t="s">
        <v>26</v>
      </c>
      <c r="AK2" s="477"/>
      <c r="AL2" s="478" t="s">
        <v>27</v>
      </c>
      <c r="AM2" s="479"/>
      <c r="AN2" s="459"/>
      <c r="AO2" s="462"/>
      <c r="AP2" s="430"/>
      <c r="AQ2" s="431"/>
      <c r="AR2" s="530" t="s">
        <v>177</v>
      </c>
      <c r="AS2" s="530" t="s">
        <v>186</v>
      </c>
      <c r="AT2" s="532" t="s">
        <v>178</v>
      </c>
      <c r="AU2" s="533"/>
      <c r="AV2" s="534" t="s">
        <v>187</v>
      </c>
      <c r="AW2" s="535" t="s">
        <v>188</v>
      </c>
      <c r="BA2" s="430"/>
      <c r="BB2" s="431"/>
      <c r="BC2" s="432"/>
      <c r="BD2" s="432"/>
      <c r="BE2" s="432"/>
      <c r="BF2" s="417"/>
      <c r="BG2" s="418"/>
    </row>
    <row r="3" spans="1:59" ht="21" x14ac:dyDescent="0.25">
      <c r="A3" s="470"/>
      <c r="B3" s="471"/>
      <c r="C3" s="18" t="s">
        <v>28</v>
      </c>
      <c r="D3" s="19" t="s">
        <v>29</v>
      </c>
      <c r="E3" s="20" t="s">
        <v>30</v>
      </c>
      <c r="F3" s="21" t="s">
        <v>123</v>
      </c>
      <c r="G3" s="20" t="s">
        <v>124</v>
      </c>
      <c r="H3" s="21" t="s">
        <v>125</v>
      </c>
      <c r="I3" s="20" t="s">
        <v>126</v>
      </c>
      <c r="J3" s="21" t="s">
        <v>127</v>
      </c>
      <c r="K3" s="20" t="s">
        <v>128</v>
      </c>
      <c r="L3" s="21" t="s">
        <v>129</v>
      </c>
      <c r="M3" s="20" t="s">
        <v>130</v>
      </c>
      <c r="N3" s="21" t="s">
        <v>131</v>
      </c>
      <c r="O3" s="20" t="s">
        <v>132</v>
      </c>
      <c r="P3" s="21" t="s">
        <v>133</v>
      </c>
      <c r="Q3" s="20" t="s">
        <v>134</v>
      </c>
      <c r="R3" s="21" t="s">
        <v>135</v>
      </c>
      <c r="S3" s="20" t="s">
        <v>136</v>
      </c>
      <c r="T3" s="21" t="s">
        <v>137</v>
      </c>
      <c r="U3" s="20" t="s">
        <v>138</v>
      </c>
      <c r="V3" s="21" t="s">
        <v>139</v>
      </c>
      <c r="W3" s="20" t="s">
        <v>140</v>
      </c>
      <c r="X3" s="21" t="s">
        <v>141</v>
      </c>
      <c r="Y3" s="20" t="s">
        <v>142</v>
      </c>
      <c r="Z3" s="21" t="s">
        <v>143</v>
      </c>
      <c r="AA3" s="20" t="s">
        <v>144</v>
      </c>
      <c r="AB3" s="21" t="s">
        <v>145</v>
      </c>
      <c r="AC3" s="20" t="s">
        <v>146</v>
      </c>
      <c r="AD3" s="21" t="s">
        <v>147</v>
      </c>
      <c r="AE3" s="20" t="s">
        <v>148</v>
      </c>
      <c r="AF3" s="22" t="s">
        <v>31</v>
      </c>
      <c r="AG3" s="23" t="s">
        <v>149</v>
      </c>
      <c r="AH3" s="22" t="s">
        <v>150</v>
      </c>
      <c r="AI3" s="23" t="s">
        <v>151</v>
      </c>
      <c r="AJ3" s="22" t="s">
        <v>152</v>
      </c>
      <c r="AK3" s="23" t="s">
        <v>153</v>
      </c>
      <c r="AL3" s="24" t="s">
        <v>154</v>
      </c>
      <c r="AM3" s="25" t="s">
        <v>155</v>
      </c>
      <c r="AN3" s="460"/>
      <c r="AO3" s="463"/>
      <c r="AP3" s="19" t="s">
        <v>29</v>
      </c>
      <c r="AQ3" s="3" t="s">
        <v>30</v>
      </c>
      <c r="AR3" s="531"/>
      <c r="AS3" s="531"/>
      <c r="AT3" s="170" t="s">
        <v>29</v>
      </c>
      <c r="AU3" s="169" t="s">
        <v>30</v>
      </c>
      <c r="AV3" s="182" t="s">
        <v>32</v>
      </c>
      <c r="AW3" s="167" t="s">
        <v>189</v>
      </c>
      <c r="BA3" s="19" t="s">
        <v>29</v>
      </c>
      <c r="BB3" s="3" t="s">
        <v>30</v>
      </c>
      <c r="BC3" s="418"/>
      <c r="BD3" s="418"/>
      <c r="BE3" s="418"/>
      <c r="BF3" s="27" t="s">
        <v>32</v>
      </c>
      <c r="BG3" s="27" t="s">
        <v>33</v>
      </c>
    </row>
    <row r="4" spans="1:59" x14ac:dyDescent="0.25">
      <c r="A4" s="525" t="s">
        <v>34</v>
      </c>
      <c r="B4" s="526"/>
      <c r="C4" s="154">
        <f t="shared" ref="C4:C52" si="0">+SUM(F4:AM4)</f>
        <v>68</v>
      </c>
      <c r="D4" s="154" t="str">
        <f>+IF(AND(CALCULO!D4&lt;&gt;"", CALCULO!D4&gt;0), CALCULO!D4, "")</f>
        <v/>
      </c>
      <c r="E4" s="154"/>
      <c r="F4" s="154">
        <f>+IF(AND(CALCULO!F4&lt;&gt;"", CALCULO!F4&gt;0), CALCULO!F4, 0)</f>
        <v>0</v>
      </c>
      <c r="G4" s="154">
        <f>+IF(AND(CALCULO!G4&lt;&gt;"", CALCULO!G4&gt;0), CALCULO!G4, 0)</f>
        <v>0</v>
      </c>
      <c r="H4" s="154">
        <f>+IF(AND(CALCULO!H4&lt;&gt;"", CALCULO!H4&gt;0), CALCULO!H4, 0)</f>
        <v>0</v>
      </c>
      <c r="I4" s="154">
        <f>+IF(AND(CALCULO!I4&lt;&gt;"", CALCULO!I4&gt;0), CALCULO!I4, 0)</f>
        <v>0</v>
      </c>
      <c r="J4" s="154">
        <f>+IF(AND(CALCULO!J4&lt;&gt;"", CALCULO!J4&gt;0), CALCULO!J4, 0)</f>
        <v>0</v>
      </c>
      <c r="K4" s="154">
        <f>+IF(AND(CALCULO!K4&lt;&gt;"",CALCULO!K4&gt;0),CALCULO!K4,0)</f>
        <v>0</v>
      </c>
      <c r="L4" s="154">
        <f>+IF(AND(CALCULO!L4&lt;&gt;"", CALCULO!L4&gt;0), CALCULO!L4, 0)</f>
        <v>0</v>
      </c>
      <c r="M4" s="154">
        <f>+IF(AND(CALCULO!M4&lt;&gt;"", CALCULO!M4&gt;0), CALCULO!M4, 0)</f>
        <v>11</v>
      </c>
      <c r="N4" s="154">
        <f>+IF(AND(CALCULO!N4&lt;&gt;"", CALCULO!N4&gt;0), CALCULO!N4, 0)</f>
        <v>0</v>
      </c>
      <c r="O4" s="154">
        <f>+IF(AND(CALCULO!O4&lt;&gt;"", CALCULO!O4&gt;0), CALCULO!O4, 0)</f>
        <v>0</v>
      </c>
      <c r="P4" s="154">
        <f>+IF(AND(CALCULO!P4&lt;&gt;"", CALCULO!P4&gt;0), CALCULO!P4, 0)</f>
        <v>0</v>
      </c>
      <c r="Q4" s="154">
        <f>+IF(AND(CALCULO!Q4&lt;&gt;"", CALCULO!Q4&gt;0), CALCULO!Q4, 0)</f>
        <v>6</v>
      </c>
      <c r="R4" s="155">
        <f>+IF(AND(CALCULO!R4&lt;&gt;"", CALCULO!R4&gt;0), CALCULO!R4, 0)</f>
        <v>0</v>
      </c>
      <c r="S4" s="154">
        <f>+IF(AND(CALCULO!S4&lt;&gt;"", CALCULO!S4&gt;0), CALCULO!S4, 0)</f>
        <v>0</v>
      </c>
      <c r="T4" s="155">
        <f>+IF(AND(CALCULO!T4&lt;&gt;"", CALCULO!T4&gt;0), CALCULO!T4, 0)</f>
        <v>0</v>
      </c>
      <c r="U4" s="154">
        <f>+IF(AND(CALCULO!U4&lt;&gt;"", CALCULO!U4&gt;0), CALCULO!U4, 0)</f>
        <v>5</v>
      </c>
      <c r="V4" s="155">
        <f>+IF(AND(CALCULO!V4&lt;&gt;"", CALCULO!V4&gt;0), CALCULO!V4, 0)</f>
        <v>0</v>
      </c>
      <c r="W4" s="154">
        <f>+IF(AND(CALCULO!W4&lt;&gt;"", CALCULO!W4&gt;0), CALCULO!W4, 0)</f>
        <v>0</v>
      </c>
      <c r="X4" s="155">
        <f>+IF(AND(CALCULO!X4&lt;&gt;"", CALCULO!X4&gt;0), CALCULO!X4, 0)</f>
        <v>0</v>
      </c>
      <c r="Y4" s="154">
        <f>+IF(AND(CALCULO!Y4&lt;&gt;"", CALCULO!Y4&gt;0), CALCULO!Y4, 0)</f>
        <v>9</v>
      </c>
      <c r="Z4" s="155">
        <f>+IF(AND(CALCULO!Z4&lt;&gt;"", CALCULO!Z4&gt;0), CALCULO!Z4, 0)</f>
        <v>0</v>
      </c>
      <c r="AA4" s="154">
        <f>+IF(AND(CALCULO!AA4&lt;&gt;"", CALCULO!AA4&gt;0), CALCULO!AA4, 0)</f>
        <v>0</v>
      </c>
      <c r="AB4" s="155">
        <f>+IF(AND(CALCULO!AB4&lt;&gt;"", CALCULO!AB4&gt;0), CALCULO!AB4, 0)</f>
        <v>3</v>
      </c>
      <c r="AC4" s="154">
        <f>+IF(AND(CALCULO!AC4&lt;&gt;"", CALCULO!AC4&gt;0), CALCULO!AC4, 0)</f>
        <v>0</v>
      </c>
      <c r="AD4" s="155">
        <f>+IF(AND(CALCULO!AD4&lt;&gt;"", CALCULO!AD4&gt;0), CALCULO!AD4, 0)</f>
        <v>0</v>
      </c>
      <c r="AE4" s="154">
        <f>+IF(AND(CALCULO!AE4&lt;&gt;"", CALCULO!AE4&gt;0), CALCULO!AE4, 0)</f>
        <v>11</v>
      </c>
      <c r="AF4" s="155">
        <f>+IF(AND(CALCULO!AF4&lt;&gt;"", CALCULO!AF4&gt;0), CALCULO!AF4, 0)</f>
        <v>0</v>
      </c>
      <c r="AG4" s="154">
        <f>+IF(AND(CALCULO!AG4&lt;&gt;"", CALCULO!AG4&gt;0), CALCULO!AG4, 0)</f>
        <v>4</v>
      </c>
      <c r="AH4" s="155">
        <f>+IF(AND(CALCULO!AH4&lt;&gt;"", CALCULO!AH4&gt;0), CALCULO!AH4, 0)</f>
        <v>7</v>
      </c>
      <c r="AI4" s="154">
        <f>+IF(AND(CALCULO!AI4&lt;&gt;"", CALCULO!AI4&gt;0), CALCULO!AI4, 0)</f>
        <v>0</v>
      </c>
      <c r="AJ4" s="155">
        <f>+IF(AND(CALCULO!AJ4&lt;&gt;"", CALCULO!AJ4&gt;0), CALCULO!AJ4, 0)</f>
        <v>1</v>
      </c>
      <c r="AK4" s="154">
        <f>+IF(AND(CALCULO!AK4&lt;&gt;"", CALCULO!AK4&gt;0), CALCULO!AK4, 0)</f>
        <v>6</v>
      </c>
      <c r="AL4" s="155">
        <f>+IF(AND(CALCULO!AL4&lt;&gt;"", CALCULO!AL4&gt;0), CALCULO!AL4, 0)</f>
        <v>5</v>
      </c>
      <c r="AM4" s="154">
        <f>+IF(AND(CALCULO!AM4&lt;&gt;"", CALCULO!AM4&gt;0), CALCULO!AM4, 0)</f>
        <v>0</v>
      </c>
      <c r="AN4" s="155">
        <f>+IF(AND(CALCULO!AN4&lt;&gt;"", CALCULO!AN4&gt;0), CALCULO!AN4, 0)</f>
        <v>0</v>
      </c>
      <c r="AO4" s="154">
        <f>+IF(AND(CALCULO!AO4&lt;&gt;"", CALCULO!AO4&gt;0), CALCULO!AO4, 0)</f>
        <v>28</v>
      </c>
      <c r="AP4" s="155">
        <f>+IF(AND(CALCULO!AP4&lt;&gt;"", CALCULO!AP4&gt;0), CALCULO!AP4, 0)</f>
        <v>0</v>
      </c>
      <c r="AQ4" s="154">
        <f>+IF(AND(CALCULO!AQ4&lt;&gt;"", CALCULO!AQ4&gt;0), CALCULO!AQ4, 0)</f>
        <v>1</v>
      </c>
      <c r="AR4" s="155">
        <f>+IF(AND(CALCULO!AR4&lt;&gt;"", CALCULO!AR4&gt;0), CALCULO!AR4, 0)</f>
        <v>0</v>
      </c>
      <c r="AS4" s="154">
        <f>+IF(AND(CALCULO!AS4&lt;&gt;"", CALCULO!AS4&gt;0), CALCULO!AS4, 0)</f>
        <v>0</v>
      </c>
      <c r="AT4" s="155">
        <f>+IF(AND(CALCULO!AT4&lt;&gt;"", CALCULO!AT4&gt;0), CALCULO!AT4, 0)</f>
        <v>0</v>
      </c>
      <c r="AU4" s="154">
        <f>+IF(AND(CALCULO!AU4&lt;&gt;"", CALCULO!AU4&gt;0), CALCULO!AU4, 0)</f>
        <v>0</v>
      </c>
      <c r="AV4" s="155">
        <f>+IF(AND(CALCULO!AV4&lt;&gt;"", CALCULO!AV4&gt;0), CALCULO!AV4, 0)</f>
        <v>0</v>
      </c>
      <c r="AW4" s="154">
        <f>+IF(AND(CALCULO!AW4&lt;&gt;"", CALCULO!AW4&gt;0), CALCULO!AW4, 0)</f>
        <v>0</v>
      </c>
      <c r="BE4" s="154" t="str">
        <f>+IF(AND(CALCULO!AV4&lt;&gt;"", CALCULO!AV4&gt;0), CALCULO!AV4, "")</f>
        <v/>
      </c>
    </row>
    <row r="5" spans="1:59" ht="15.75" thickBot="1" x14ac:dyDescent="0.3">
      <c r="A5" s="527" t="s">
        <v>35</v>
      </c>
      <c r="B5" s="528"/>
      <c r="C5" s="165">
        <f t="shared" si="0"/>
        <v>0</v>
      </c>
      <c r="D5" s="165"/>
      <c r="E5" s="165" t="str">
        <f>+IF(AND(CALCULO!E5&lt;&gt;"", CALCULO!E5&gt;0), CALCULO!E5, "")</f>
        <v/>
      </c>
      <c r="F5" s="165">
        <f>+IF(AND(CALCULO!F5&lt;&gt;"", CALCULO!F5&gt;0), CALCULO!F5, 0)</f>
        <v>0</v>
      </c>
      <c r="G5" s="165">
        <f>+IF(AND(CALCULO!G5&lt;&gt;"", CALCULO!G5&gt;0), CALCULO!G5, 0)</f>
        <v>0</v>
      </c>
      <c r="H5" s="165">
        <f>+IF(AND(CALCULO!H5&lt;&gt;"", CALCULO!H5&gt;0), CALCULO!H5, 0)</f>
        <v>0</v>
      </c>
      <c r="I5" s="165">
        <f>+IF(AND(CALCULO!I5&lt;&gt;"", CALCULO!I5&gt;0), CALCULO!I5, 0)</f>
        <v>0</v>
      </c>
      <c r="J5" s="165">
        <f>+IF(AND(CALCULO!J5&lt;&gt;"", CALCULO!J5&gt;0), CALCULO!J5, 0)</f>
        <v>0</v>
      </c>
      <c r="K5" s="165">
        <f>+IF(AND(CALCULO!K5&lt;&gt;"",CALCULO!K5&gt;0),CALCULO!K5,0)</f>
        <v>0</v>
      </c>
      <c r="L5" s="165">
        <f>+IF(AND(CALCULO!L5&lt;&gt;"", CALCULO!L5&gt;0), CALCULO!L5, 0)</f>
        <v>0</v>
      </c>
      <c r="M5" s="165">
        <f>+IF(AND(CALCULO!M5&lt;&gt;"", CALCULO!M5&gt;0), CALCULO!M5, 0)</f>
        <v>0</v>
      </c>
      <c r="N5" s="165">
        <f>+IF(AND(CALCULO!N5&lt;&gt;"", CALCULO!N5&gt;0), CALCULO!N5, 0)</f>
        <v>0</v>
      </c>
      <c r="O5" s="165">
        <f>+IF(AND(CALCULO!O5&lt;&gt;"", CALCULO!O5&gt;0), CALCULO!O5, 0)</f>
        <v>0</v>
      </c>
      <c r="P5" s="165">
        <f>+IF(AND(CALCULO!P5&lt;&gt;"", CALCULO!P5&gt;0), CALCULO!P5, 0)</f>
        <v>0</v>
      </c>
      <c r="Q5" s="165">
        <f>+IF(AND(CALCULO!Q5&lt;&gt;"", CALCULO!Q5&gt;0), CALCULO!Q5, 0)</f>
        <v>0</v>
      </c>
      <c r="R5" s="155">
        <f>+IF(AND(CALCULO!R5&lt;&gt;"", CALCULO!R5&gt;0), CALCULO!R5, 0)</f>
        <v>0</v>
      </c>
      <c r="S5" s="165">
        <f>+IF(AND(CALCULO!S5&lt;&gt;"", CALCULO!S5&gt;0), CALCULO!S5, 0)</f>
        <v>0</v>
      </c>
      <c r="T5" s="155">
        <f>+IF(AND(CALCULO!T5&lt;&gt;"", CALCULO!T5&gt;0), CALCULO!T5, 0)</f>
        <v>0</v>
      </c>
      <c r="U5" s="165">
        <f>+IF(AND(CALCULO!U5&lt;&gt;"", CALCULO!U5&gt;0), CALCULO!U5, 0)</f>
        <v>0</v>
      </c>
      <c r="V5" s="155">
        <f>+IF(AND(CALCULO!V5&lt;&gt;"", CALCULO!V5&gt;0), CALCULO!V5, 0)</f>
        <v>0</v>
      </c>
      <c r="W5" s="165">
        <f>+IF(AND(CALCULO!W5&lt;&gt;"", CALCULO!W5&gt;0), CALCULO!W5, 0)</f>
        <v>0</v>
      </c>
      <c r="X5" s="155">
        <f>+IF(AND(CALCULO!X5&lt;&gt;"", CALCULO!X5&gt;0), CALCULO!X5, 0)</f>
        <v>0</v>
      </c>
      <c r="Y5" s="165">
        <f>+IF(AND(CALCULO!Y5&lt;&gt;"", CALCULO!Y5&gt;0), CALCULO!Y5, 0)</f>
        <v>0</v>
      </c>
      <c r="Z5" s="155">
        <f>+IF(AND(CALCULO!Z5&lt;&gt;"", CALCULO!Z5&gt;0), CALCULO!Z5, 0)</f>
        <v>0</v>
      </c>
      <c r="AA5" s="165">
        <f>+IF(AND(CALCULO!AA5&lt;&gt;"", CALCULO!AA5&gt;0), CALCULO!AA5, 0)</f>
        <v>0</v>
      </c>
      <c r="AB5" s="155">
        <f>+IF(AND(CALCULO!AB5&lt;&gt;"", CALCULO!AB5&gt;0), CALCULO!AB5, 0)</f>
        <v>0</v>
      </c>
      <c r="AC5" s="165">
        <f>+IF(AND(CALCULO!AC5&lt;&gt;"", CALCULO!AC5&gt;0), CALCULO!AC5, 0)</f>
        <v>0</v>
      </c>
      <c r="AD5" s="155">
        <f>+IF(AND(CALCULO!AD5&lt;&gt;"", CALCULO!AD5&gt;0), CALCULO!AD5, 0)</f>
        <v>0</v>
      </c>
      <c r="AE5" s="165">
        <f>+IF(AND(CALCULO!AE5&lt;&gt;"", CALCULO!AE5&gt;0), CALCULO!AE5, 0)</f>
        <v>0</v>
      </c>
      <c r="AF5" s="155">
        <f>+IF(AND(CALCULO!AF5&lt;&gt;"", CALCULO!AF5&gt;0), CALCULO!AF5, 0)</f>
        <v>0</v>
      </c>
      <c r="AG5" s="165">
        <f>+IF(AND(CALCULO!AG5&lt;&gt;"", CALCULO!AG5&gt;0), CALCULO!AG5, 0)</f>
        <v>0</v>
      </c>
      <c r="AH5" s="155">
        <f>+IF(AND(CALCULO!AH5&lt;&gt;"", CALCULO!AH5&gt;0), CALCULO!AH5, 0)</f>
        <v>0</v>
      </c>
      <c r="AI5" s="165">
        <f>+IF(AND(CALCULO!AI5&lt;&gt;"", CALCULO!AI5&gt;0), CALCULO!AI5, 0)</f>
        <v>0</v>
      </c>
      <c r="AJ5" s="155">
        <f>+IF(AND(CALCULO!AJ5&lt;&gt;"", CALCULO!AJ5&gt;0), CALCULO!AJ5, 0)</f>
        <v>0</v>
      </c>
      <c r="AK5" s="165">
        <f>+IF(AND(CALCULO!AK5&lt;&gt;"", CALCULO!AK5&gt;0), CALCULO!AK5, 0)</f>
        <v>0</v>
      </c>
      <c r="AL5" s="155">
        <f>+IF(AND(CALCULO!AL5&lt;&gt;"", CALCULO!AL5&gt;0), CALCULO!AL5, 0)</f>
        <v>0</v>
      </c>
      <c r="AM5" s="165">
        <f>+IF(AND(CALCULO!AM5&lt;&gt;"", CALCULO!AM5&gt;0), CALCULO!AM5, 0)</f>
        <v>0</v>
      </c>
      <c r="AN5" s="155">
        <f>+IF(AND(CALCULO!AN5&lt;&gt;"", CALCULO!AN5&gt;0), CALCULO!AN5, 0)</f>
        <v>0</v>
      </c>
      <c r="AO5" s="165">
        <f>+IF(AND(CALCULO!AO5&lt;&gt;"", CALCULO!AO5&gt;0), CALCULO!AO5, 0)</f>
        <v>0</v>
      </c>
      <c r="AP5" s="155">
        <f>+IF(AND(CALCULO!AP5&lt;&gt;"", CALCULO!AP5&gt;0), CALCULO!AP5, 0)</f>
        <v>0</v>
      </c>
      <c r="AQ5" s="165">
        <f>+IF(AND(CALCULO!AQ5&lt;&gt;"", CALCULO!AQ5&gt;0), CALCULO!AQ5, 0)</f>
        <v>0</v>
      </c>
      <c r="AR5" s="155">
        <f>+IF(AND(CALCULO!AR5&lt;&gt;"", CALCULO!AR5&gt;0), CALCULO!AR5, 0)</f>
        <v>0</v>
      </c>
      <c r="AS5" s="165">
        <f>+IF(AND(CALCULO!AS5&lt;&gt;"", CALCULO!AS5&gt;0), CALCULO!AS5, 0)</f>
        <v>0</v>
      </c>
      <c r="AT5" s="155">
        <f>+IF(AND(CALCULO!AT5&lt;&gt;"", CALCULO!AT5&gt;0), CALCULO!AT5, 0)</f>
        <v>0</v>
      </c>
      <c r="AU5" s="165">
        <f>+IF(AND(CALCULO!AU5&lt;&gt;"", CALCULO!AU5&gt;0), CALCULO!AU5, 0)</f>
        <v>0</v>
      </c>
      <c r="AV5" s="155">
        <f>+IF(AND(CALCULO!AV5&lt;&gt;"", CALCULO!AV5&gt;0), CALCULO!AV5, 0)</f>
        <v>0</v>
      </c>
      <c r="AW5" s="165">
        <f>+IF(AND(CALCULO!AW5&lt;&gt;"", CALCULO!AW5&gt;0), CALCULO!AW5, 0)</f>
        <v>0</v>
      </c>
      <c r="BE5" s="154" t="str">
        <f>+IF(AND(CALCULO!AV5&lt;&gt;"", CALCULO!AV5&gt;0), CALCULO!AV5, "")</f>
        <v/>
      </c>
    </row>
    <row r="6" spans="1:59" s="151" customFormat="1" x14ac:dyDescent="0.25">
      <c r="A6" s="419" t="s">
        <v>36</v>
      </c>
      <c r="B6" s="188" t="s">
        <v>37</v>
      </c>
      <c r="C6" s="189">
        <f t="shared" si="0"/>
        <v>0</v>
      </c>
      <c r="D6" s="189"/>
      <c r="E6" s="189" t="str">
        <f>+IF(AND(CALCULO!E6&lt;&gt;"", CALCULO!E6&gt;0), CALCULO!E6, "")</f>
        <v/>
      </c>
      <c r="F6" s="189">
        <f>+IF(AND(CALCULO!F6&lt;&gt;"", CALCULO!F6&gt;0), CALCULO!F6, 0)</f>
        <v>0</v>
      </c>
      <c r="G6" s="189">
        <f>+IF(AND(CALCULO!G6&lt;&gt;"", CALCULO!G6&gt;0), CALCULO!G6, 0)</f>
        <v>0</v>
      </c>
      <c r="H6" s="189">
        <f>+IF(AND(CALCULO!H6&lt;&gt;"", CALCULO!H6&gt;0), CALCULO!H6, 0)</f>
        <v>0</v>
      </c>
      <c r="I6" s="189">
        <f>+IF(AND(CALCULO!I6&lt;&gt;"", CALCULO!I6&gt;0), CALCULO!I6, 0)</f>
        <v>0</v>
      </c>
      <c r="J6" s="189">
        <f>+IF(AND(CALCULO!J6&lt;&gt;"", CALCULO!J6&gt;0), CALCULO!J6, 0)</f>
        <v>0</v>
      </c>
      <c r="K6" s="189">
        <f>+IF(AND(CALCULO!K6&lt;&gt;"", CALCULO!K6&gt;0), CALCULO!K6, 0)</f>
        <v>0</v>
      </c>
      <c r="L6" s="189">
        <f>+IF(AND(CALCULO!L6&lt;&gt;"", CALCULO!L6&gt;0), CALCULO!L6, 0)</f>
        <v>0</v>
      </c>
      <c r="M6" s="189">
        <f>+IF(AND(CALCULO!M6&lt;&gt;"", CALCULO!M6&gt;0), CALCULO!M6, 0)</f>
        <v>0</v>
      </c>
      <c r="N6" s="189">
        <f>+IF(AND(CALCULO!N6&lt;&gt;"", CALCULO!N6&gt;0), CALCULO!N6, 0)</f>
        <v>0</v>
      </c>
      <c r="O6" s="189">
        <f>+IF(AND(CALCULO!O6&lt;&gt;"", CALCULO!O6&gt;0), CALCULO!O6, 0)</f>
        <v>0</v>
      </c>
      <c r="P6" s="189">
        <f>+IF(AND(CALCULO!P6&lt;&gt;"", CALCULO!P6&gt;0), CALCULO!P6, 0)</f>
        <v>0</v>
      </c>
      <c r="Q6" s="189">
        <f>+IF(AND(CALCULO!Q6&lt;&gt;"", CALCULO!Q6&gt;0), CALCULO!Q6, 0)</f>
        <v>0</v>
      </c>
      <c r="R6" s="189">
        <f>+IF(AND(CALCULO!R6&lt;&gt;"", CALCULO!R6&gt;0), CALCULO!R6, 0)</f>
        <v>0</v>
      </c>
      <c r="S6" s="189">
        <f>+IF(AND(CALCULO!S6&lt;&gt;"", CALCULO!S6&gt;0), CALCULO!S6, 0)</f>
        <v>0</v>
      </c>
      <c r="T6" s="189">
        <f>+IF(AND(CALCULO!T6&lt;&gt;"", CALCULO!T6&gt;0), CALCULO!T6, 0)</f>
        <v>0</v>
      </c>
      <c r="U6" s="189">
        <f>+IF(AND(CALCULO!U6&lt;&gt;"", CALCULO!U6&gt;0), CALCULO!U6, 0)</f>
        <v>0</v>
      </c>
      <c r="V6" s="189">
        <f>+IF(AND(CALCULO!V6&lt;&gt;"", CALCULO!V6&gt;0), CALCULO!V6, 0)</f>
        <v>0</v>
      </c>
      <c r="W6" s="189">
        <f>+IF(AND(CALCULO!W6&lt;&gt;"", CALCULO!W6&gt;0), CALCULO!W6, 0)</f>
        <v>0</v>
      </c>
      <c r="X6" s="189">
        <f>+IF(AND(CALCULO!X6&lt;&gt;"", CALCULO!X6&gt;0), CALCULO!X6, 0)</f>
        <v>0</v>
      </c>
      <c r="Y6" s="189">
        <f>+IF(AND(CALCULO!Y6&lt;&gt;"", CALCULO!Y6&gt;0), CALCULO!Y6, 0)</f>
        <v>0</v>
      </c>
      <c r="Z6" s="189">
        <f>+IF(AND(CALCULO!Z6&lt;&gt;"", CALCULO!Z6&gt;0), CALCULO!Z6, 0)</f>
        <v>0</v>
      </c>
      <c r="AA6" s="189">
        <f>+IF(AND(CALCULO!AA6&lt;&gt;"", CALCULO!AA6&gt;0), CALCULO!AA6, 0)</f>
        <v>0</v>
      </c>
      <c r="AB6" s="189">
        <f>+IF(AND(CALCULO!AB6&lt;&gt;"", CALCULO!AB6&gt;0), CALCULO!AB6, 0)</f>
        <v>0</v>
      </c>
      <c r="AC6" s="189">
        <f>+IF(AND(CALCULO!AC6&lt;&gt;"", CALCULO!AC6&gt;0), CALCULO!AC6, 0)</f>
        <v>0</v>
      </c>
      <c r="AD6" s="189">
        <f>+IF(AND(CALCULO!AD6&lt;&gt;"", CALCULO!AD6&gt;0), CALCULO!AD6, 0)</f>
        <v>0</v>
      </c>
      <c r="AE6" s="189">
        <f>+IF(AND(CALCULO!AE6&lt;&gt;"", CALCULO!AE6&gt;0), CALCULO!AE6, 0)</f>
        <v>0</v>
      </c>
      <c r="AF6" s="189">
        <f>+IF(AND(CALCULO!AF6&lt;&gt;"", CALCULO!AF6&gt;0), CALCULO!AF6, 0)</f>
        <v>0</v>
      </c>
      <c r="AG6" s="189">
        <f>+IF(AND(CALCULO!AG6&lt;&gt;"", CALCULO!AG6&gt;0), CALCULO!AG6, 0)</f>
        <v>0</v>
      </c>
      <c r="AH6" s="189">
        <f>+IF(AND(CALCULO!AH6&lt;&gt;"", CALCULO!AH6&gt;0), CALCULO!AH6, 0)</f>
        <v>0</v>
      </c>
      <c r="AI6" s="189">
        <f>+IF(AND(CALCULO!AI6&lt;&gt;"", CALCULO!AI6&gt;0), CALCULO!AI6, 0)</f>
        <v>0</v>
      </c>
      <c r="AJ6" s="189">
        <f>+IF(AND(CALCULO!AJ6&lt;&gt;"", CALCULO!AJ6&gt;0), CALCULO!AJ6, 0)</f>
        <v>0</v>
      </c>
      <c r="AK6" s="189">
        <f>+IF(AND(CALCULO!AK6&lt;&gt;"", CALCULO!AK6&gt;0), CALCULO!AK6, 0)</f>
        <v>0</v>
      </c>
      <c r="AL6" s="189">
        <f>+IF(AND(CALCULO!AL6&lt;&gt;"", CALCULO!AL6&gt;0), CALCULO!AL6, 0)</f>
        <v>0</v>
      </c>
      <c r="AM6" s="189">
        <f>+IF(AND(CALCULO!AM6&lt;&gt;"", CALCULO!AM6&gt;0), CALCULO!AM6, 0)</f>
        <v>0</v>
      </c>
      <c r="AN6" s="189">
        <f>+IF(AND(CALCULO!AN6&lt;&gt;"", CALCULO!AN6&gt;0), CALCULO!AN6, 0)</f>
        <v>0</v>
      </c>
      <c r="AO6" s="189">
        <f>+IF(AND(CALCULO!AO6&lt;&gt;"", CALCULO!AO6&gt;0), CALCULO!AO6, 0)</f>
        <v>0</v>
      </c>
      <c r="AP6" s="189">
        <f>+IF(AND(CALCULO!AP6&lt;&gt;"", CALCULO!AP6&gt;0), CALCULO!AP6, 0)</f>
        <v>0</v>
      </c>
      <c r="AQ6" s="189">
        <f>+IF(AND(CALCULO!AQ6&lt;&gt;"", CALCULO!AQ6&gt;0), CALCULO!AQ6, 0)</f>
        <v>0</v>
      </c>
      <c r="AR6" s="189">
        <f>+IF(AND(CALCULO!AR6&lt;&gt;"", CALCULO!AR6&gt;0), CALCULO!AR6, 0)</f>
        <v>0</v>
      </c>
      <c r="AS6" s="189">
        <f>+IF(AND(CALCULO!AS6&lt;&gt;"", CALCULO!AS6&gt;0), CALCULO!AS6, 0)</f>
        <v>0</v>
      </c>
      <c r="AT6" s="189">
        <f>+IF(AND(CALCULO!AT6&lt;&gt;"", CALCULO!AT6&gt;0), CALCULO!AT6, 0)</f>
        <v>0</v>
      </c>
      <c r="AU6" s="189">
        <f>+IF(AND(CALCULO!AU6&lt;&gt;"", CALCULO!AU6&gt;0), CALCULO!AU6, 0)</f>
        <v>0</v>
      </c>
      <c r="AV6" s="189">
        <f>+IF(AND(CALCULO!AV6&lt;&gt;"", CALCULO!AV6&gt;0), CALCULO!AV6, 0)</f>
        <v>0</v>
      </c>
      <c r="AW6" s="189">
        <f>+IF(AND(CALCULO!AW6&lt;&gt;"", CALCULO!AW6&gt;0), CALCULO!AW6, 0)</f>
        <v>0</v>
      </c>
      <c r="BE6" s="155" t="str">
        <f>+IF(AND(CALCULO!AV6&lt;&gt;"", CALCULO!AV6&gt;0), CALCULO!AV6, "0")</f>
        <v>0</v>
      </c>
    </row>
    <row r="7" spans="1:59" s="151" customFormat="1" x14ac:dyDescent="0.25">
      <c r="A7" s="420"/>
      <c r="B7" s="153" t="s">
        <v>38</v>
      </c>
      <c r="C7" s="155">
        <f t="shared" si="0"/>
        <v>0</v>
      </c>
      <c r="D7" s="155"/>
      <c r="E7" s="155" t="str">
        <f>+IF(AND(CALCULO!E7&lt;&gt;"", CALCULO!E7&gt;0), CALCULO!E7, "")</f>
        <v/>
      </c>
      <c r="F7" s="155">
        <f>+IF(AND(CALCULO!F7&lt;&gt;"", CALCULO!F7&gt;0), CALCULO!F7, 0)</f>
        <v>0</v>
      </c>
      <c r="G7" s="155">
        <f>+IF(AND(CALCULO!G7&lt;&gt;"", CALCULO!G7&gt;0), CALCULO!G7, 0)</f>
        <v>0</v>
      </c>
      <c r="H7" s="155">
        <f>+IF(AND(CALCULO!H7&lt;&gt;"", CALCULO!H7&gt;0), CALCULO!H7, 0)</f>
        <v>0</v>
      </c>
      <c r="I7" s="155">
        <f>+IF(AND(CALCULO!I7&lt;&gt;"", CALCULO!I7&gt;0), CALCULO!I7, 0)</f>
        <v>0</v>
      </c>
      <c r="J7" s="155">
        <f>+IF(AND(CALCULO!J7&lt;&gt;"", CALCULO!J7&gt;0), CALCULO!J7, 0)</f>
        <v>0</v>
      </c>
      <c r="K7" s="155">
        <f>+IF(AND(CALCULO!K7&lt;&gt;"", CALCULO!K7&gt;0), CALCULO!K7, 0)</f>
        <v>0</v>
      </c>
      <c r="L7" s="155">
        <f>+IF(AND(CALCULO!L7&lt;&gt;"", CALCULO!L7&gt;0), CALCULO!L7, 0)</f>
        <v>0</v>
      </c>
      <c r="M7" s="155">
        <f>+IF(AND(CALCULO!M7&lt;&gt;"", CALCULO!M7&gt;0), CALCULO!M7, 0)</f>
        <v>0</v>
      </c>
      <c r="N7" s="155">
        <f>+IF(AND(CALCULO!N7&lt;&gt;"", CALCULO!N7&gt;0), CALCULO!N7, 0)</f>
        <v>0</v>
      </c>
      <c r="O7" s="155">
        <f>+IF(AND(CALCULO!O7&lt;&gt;"", CALCULO!O7&gt;0), CALCULO!O7, 0)</f>
        <v>0</v>
      </c>
      <c r="P7" s="155">
        <f>+IF(AND(CALCULO!P7&lt;&gt;"", CALCULO!P7&gt;0), CALCULO!P7, 0)</f>
        <v>0</v>
      </c>
      <c r="Q7" s="155">
        <f>+IF(AND(CALCULO!Q7&lt;&gt;"", CALCULO!Q7&gt;0), CALCULO!Q7, 0)</f>
        <v>0</v>
      </c>
      <c r="R7" s="155">
        <f>+IF(AND(CALCULO!R7&lt;&gt;"", CALCULO!R7&gt;0), CALCULO!R7, 0)</f>
        <v>0</v>
      </c>
      <c r="S7" s="155">
        <f>+IF(AND(CALCULO!S7&lt;&gt;"", CALCULO!S7&gt;0), CALCULO!S7, 0)</f>
        <v>0</v>
      </c>
      <c r="T7" s="155">
        <f>+IF(AND(CALCULO!T7&lt;&gt;"", CALCULO!T7&gt;0), CALCULO!T7, 0)</f>
        <v>0</v>
      </c>
      <c r="U7" s="155">
        <f>+IF(AND(CALCULO!U7&lt;&gt;"", CALCULO!U7&gt;0), CALCULO!U7, 0)</f>
        <v>0</v>
      </c>
      <c r="V7" s="155">
        <f>+IF(AND(CALCULO!V7&lt;&gt;"", CALCULO!V7&gt;0), CALCULO!V7, 0)</f>
        <v>0</v>
      </c>
      <c r="W7" s="155">
        <f>+IF(AND(CALCULO!W7&lt;&gt;"", CALCULO!W7&gt;0), CALCULO!W7, 0)</f>
        <v>0</v>
      </c>
      <c r="X7" s="155">
        <f>+IF(AND(CALCULO!X7&lt;&gt;"", CALCULO!X7&gt;0), CALCULO!X7, 0)</f>
        <v>0</v>
      </c>
      <c r="Y7" s="155">
        <f>+IF(AND(CALCULO!Y7&lt;&gt;"", CALCULO!Y7&gt;0), CALCULO!Y7, 0)</f>
        <v>0</v>
      </c>
      <c r="Z7" s="155">
        <f>+IF(AND(CALCULO!Z7&lt;&gt;"", CALCULO!Z7&gt;0), CALCULO!Z7, 0)</f>
        <v>0</v>
      </c>
      <c r="AA7" s="155">
        <f>+IF(AND(CALCULO!AA7&lt;&gt;"", CALCULO!AA7&gt;0), CALCULO!AA7, 0)</f>
        <v>0</v>
      </c>
      <c r="AB7" s="155">
        <f>+IF(AND(CALCULO!AB7&lt;&gt;"", CALCULO!AB7&gt;0), CALCULO!AB7, 0)</f>
        <v>0</v>
      </c>
      <c r="AC7" s="155">
        <f>+IF(AND(CALCULO!AC7&lt;&gt;"", CALCULO!AC7&gt;0), CALCULO!AC7, 0)</f>
        <v>0</v>
      </c>
      <c r="AD7" s="155">
        <f>+IF(AND(CALCULO!AD7&lt;&gt;"", CALCULO!AD7&gt;0), CALCULO!AD7, 0)</f>
        <v>0</v>
      </c>
      <c r="AE7" s="155">
        <f>+IF(AND(CALCULO!AE7&lt;&gt;"", CALCULO!AE7&gt;0), CALCULO!AE7, 0)</f>
        <v>0</v>
      </c>
      <c r="AF7" s="155">
        <f>+IF(AND(CALCULO!AF7&lt;&gt;"", CALCULO!AF7&gt;0), CALCULO!AF7, 0)</f>
        <v>0</v>
      </c>
      <c r="AG7" s="155">
        <f>+IF(AND(CALCULO!AG7&lt;&gt;"", CALCULO!AG7&gt;0), CALCULO!AG7, 0)</f>
        <v>0</v>
      </c>
      <c r="AH7" s="155">
        <f>+IF(AND(CALCULO!AH7&lt;&gt;"", CALCULO!AH7&gt;0), CALCULO!AH7, 0)</f>
        <v>0</v>
      </c>
      <c r="AI7" s="155">
        <f>+IF(AND(CALCULO!AI7&lt;&gt;"", CALCULO!AI7&gt;0), CALCULO!AI7, 0)</f>
        <v>0</v>
      </c>
      <c r="AJ7" s="155">
        <f>+IF(AND(CALCULO!AJ7&lt;&gt;"", CALCULO!AJ7&gt;0), CALCULO!AJ7, 0)</f>
        <v>0</v>
      </c>
      <c r="AK7" s="155">
        <f>+IF(AND(CALCULO!AK7&lt;&gt;"", CALCULO!AK7&gt;0), CALCULO!AK7, 0)</f>
        <v>0</v>
      </c>
      <c r="AL7" s="155">
        <f>+IF(AND(CALCULO!AL7&lt;&gt;"", CALCULO!AL7&gt;0), CALCULO!AL7, 0)</f>
        <v>0</v>
      </c>
      <c r="AM7" s="155">
        <f>+IF(AND(CALCULO!AM7&lt;&gt;"", CALCULO!AM7&gt;0), CALCULO!AM7, 0)</f>
        <v>0</v>
      </c>
      <c r="AN7" s="155">
        <f>+IF(AND(CALCULO!AN7&lt;&gt;"", CALCULO!AN7&gt;0), CALCULO!AN7, 0)</f>
        <v>0</v>
      </c>
      <c r="AO7" s="155">
        <f>+IF(AND(CALCULO!AO7&lt;&gt;"", CALCULO!AO7&gt;0), CALCULO!AO7, 0)</f>
        <v>0</v>
      </c>
      <c r="AP7" s="155">
        <f>+IF(AND(CALCULO!AP7&lt;&gt;"", CALCULO!AP7&gt;0), CALCULO!AP7, 0)</f>
        <v>0</v>
      </c>
      <c r="AQ7" s="155">
        <f>+IF(AND(CALCULO!AQ7&lt;&gt;"", CALCULO!AQ7&gt;0), CALCULO!AQ7, 0)</f>
        <v>0</v>
      </c>
      <c r="AR7" s="155">
        <f>+IF(AND(CALCULO!AR7&lt;&gt;"", CALCULO!AR7&gt;0), CALCULO!AR7, 0)</f>
        <v>0</v>
      </c>
      <c r="AS7" s="155">
        <f>+IF(AND(CALCULO!AS7&lt;&gt;"", CALCULO!AS7&gt;0), CALCULO!AS7, 0)</f>
        <v>0</v>
      </c>
      <c r="AT7" s="155">
        <f>+IF(AND(CALCULO!AT7&lt;&gt;"", CALCULO!AT7&gt;0), CALCULO!AT7, 0)</f>
        <v>0</v>
      </c>
      <c r="AU7" s="155">
        <f>+IF(AND(CALCULO!AU7&lt;&gt;"", CALCULO!AU7&gt;0), CALCULO!AU7, 0)</f>
        <v>0</v>
      </c>
      <c r="AV7" s="155">
        <f>+IF(AND(CALCULO!AV7&lt;&gt;"", CALCULO!AV7&gt;0), CALCULO!AV7, 0)</f>
        <v>0</v>
      </c>
      <c r="AW7" s="155">
        <f>+IF(AND(CALCULO!AW7&lt;&gt;"", CALCULO!AW7&gt;0), CALCULO!AW7, 0)</f>
        <v>0</v>
      </c>
      <c r="BE7" s="155" t="str">
        <f>+IF(AND(CALCULO!AV7&lt;&gt;"", CALCULO!AV7&gt;0), CALCULO!AV7, "0")</f>
        <v>0</v>
      </c>
    </row>
    <row r="8" spans="1:59" s="151" customFormat="1" x14ac:dyDescent="0.25">
      <c r="A8" s="302"/>
      <c r="B8" s="153"/>
      <c r="C8" s="265">
        <f t="shared" si="0"/>
        <v>0</v>
      </c>
      <c r="D8" s="155" t="str">
        <f>+IF(AND(CALCULO!D8&lt;&gt;"", CALCULO!D8&gt;0), CALCULO!D8, "")</f>
        <v/>
      </c>
      <c r="E8" s="155" t="str">
        <f>+IF(AND(CALCULO!E8&lt;&gt;"", CALCULO!E8&gt;0), CALCULO!E8, "")</f>
        <v/>
      </c>
      <c r="F8" s="155">
        <f>+IF(AND(CALCULO!F8&lt;&gt;"", CALCULO!F8&gt;0), CALCULO!F8, 0)</f>
        <v>0</v>
      </c>
      <c r="G8" s="155">
        <f>+IF(AND(CALCULO!G8&lt;&gt;"", CALCULO!G8&gt;0), CALCULO!G8, 0)</f>
        <v>0</v>
      </c>
      <c r="H8" s="155">
        <f>+IF(AND(CALCULO!H8&lt;&gt;"", CALCULO!H8&gt;0), CALCULO!H8, 0)</f>
        <v>0</v>
      </c>
      <c r="I8" s="155">
        <f>+IF(AND(CALCULO!I8&lt;&gt;"", CALCULO!I8&gt;0), CALCULO!I8, 0)</f>
        <v>0</v>
      </c>
      <c r="J8" s="155">
        <f>+IF(AND(CALCULO!J8&lt;&gt;"", CALCULO!J8&gt;0), CALCULO!J8, 0)</f>
        <v>0</v>
      </c>
      <c r="K8" s="155">
        <f>+IF(AND(CALCULO!K8&lt;&gt;"", CALCULO!K8&gt;0), CALCULO!K8, 0)</f>
        <v>0</v>
      </c>
      <c r="L8" s="155">
        <f>+IF(AND(CALCULO!L8&lt;&gt;"", CALCULO!L8&gt;0), CALCULO!L8, 0)</f>
        <v>0</v>
      </c>
      <c r="M8" s="155">
        <f>+IF(AND(CALCULO!M8&lt;&gt;"", CALCULO!M8&gt;0), CALCULO!M8, 0)</f>
        <v>0</v>
      </c>
      <c r="N8" s="155">
        <f>+IF(AND(CALCULO!N8&lt;&gt;"", CALCULO!N8&gt;0), CALCULO!N8, 0)</f>
        <v>0</v>
      </c>
      <c r="O8" s="155">
        <f>+IF(AND(CALCULO!O8&lt;&gt;"", CALCULO!O8&gt;0), CALCULO!O8, 0)</f>
        <v>0</v>
      </c>
      <c r="P8" s="155">
        <f>+IF(AND(CALCULO!P8&lt;&gt;"", CALCULO!P8&gt;0), CALCULO!P8, 0)</f>
        <v>0</v>
      </c>
      <c r="Q8" s="155">
        <f>+IF(AND(CALCULO!Q8&lt;&gt;"", CALCULO!Q8&gt;0), CALCULO!Q8, 0)</f>
        <v>0</v>
      </c>
      <c r="R8" s="155">
        <f>+IF(AND(CALCULO!R8&lt;&gt;"", CALCULO!R8&gt;0), CALCULO!R8, 0)</f>
        <v>0</v>
      </c>
      <c r="S8" s="155">
        <f>+IF(AND(CALCULO!S8&lt;&gt;"", CALCULO!S8&gt;0), CALCULO!S8, 0)</f>
        <v>0</v>
      </c>
      <c r="T8" s="155">
        <f>+IF(AND(CALCULO!T8&lt;&gt;"", CALCULO!T8&gt;0), CALCULO!T8, 0)</f>
        <v>0</v>
      </c>
      <c r="U8" s="155">
        <f>+IF(AND(CALCULO!U8&lt;&gt;"", CALCULO!U8&gt;0), CALCULO!U8, 0)</f>
        <v>0</v>
      </c>
      <c r="V8" s="155">
        <f>+IF(AND(CALCULO!V8&lt;&gt;"", CALCULO!V8&gt;0), CALCULO!V8, 0)</f>
        <v>0</v>
      </c>
      <c r="W8" s="155">
        <f>+IF(AND(CALCULO!W8&lt;&gt;"", CALCULO!W8&gt;0), CALCULO!W8, 0)</f>
        <v>0</v>
      </c>
      <c r="X8" s="155">
        <f>+IF(AND(CALCULO!X8&lt;&gt;"", CALCULO!X8&gt;0), CALCULO!X8, 0)</f>
        <v>0</v>
      </c>
      <c r="Y8" s="155">
        <f>+IF(AND(CALCULO!Y8&lt;&gt;"", CALCULO!Y8&gt;0), CALCULO!Y8, 0)</f>
        <v>0</v>
      </c>
      <c r="Z8" s="155">
        <f>+IF(AND(CALCULO!Z8&lt;&gt;"", CALCULO!Z8&gt;0), CALCULO!Z8, 0)</f>
        <v>0</v>
      </c>
      <c r="AA8" s="155">
        <f>+IF(AND(CALCULO!AA8&lt;&gt;"", CALCULO!AA8&gt;0), CALCULO!AA8, 0)</f>
        <v>0</v>
      </c>
      <c r="AB8" s="155">
        <f>+IF(AND(CALCULO!AB8&lt;&gt;"", CALCULO!AB8&gt;0), CALCULO!AB8, 0)</f>
        <v>0</v>
      </c>
      <c r="AC8" s="155">
        <f>+IF(AND(CALCULO!AC8&lt;&gt;"", CALCULO!AC8&gt;0), CALCULO!AC8, 0)</f>
        <v>0</v>
      </c>
      <c r="AD8" s="155">
        <f>+IF(AND(CALCULO!AD8&lt;&gt;"", CALCULO!AD8&gt;0), CALCULO!AD8, 0)</f>
        <v>0</v>
      </c>
      <c r="AE8" s="155">
        <f>+IF(AND(CALCULO!AE8&lt;&gt;"", CALCULO!AE8&gt;0), CALCULO!AE8, 0)</f>
        <v>0</v>
      </c>
      <c r="AF8" s="155">
        <f>+IF(AND(CALCULO!AF8&lt;&gt;"", CALCULO!AF8&gt;0), CALCULO!AF8, 0)</f>
        <v>0</v>
      </c>
      <c r="AG8" s="155">
        <f>+IF(AND(CALCULO!AG8&lt;&gt;"", CALCULO!AG8&gt;0), CALCULO!AG8, 0)</f>
        <v>0</v>
      </c>
      <c r="AH8" s="155">
        <f>+IF(AND(CALCULO!AH8&lt;&gt;"", CALCULO!AH8&gt;0), CALCULO!AH8, 0)</f>
        <v>0</v>
      </c>
      <c r="AI8" s="155">
        <f>+IF(AND(CALCULO!AI8&lt;&gt;"", CALCULO!AI8&gt;0), CALCULO!AI8, 0)</f>
        <v>0</v>
      </c>
      <c r="AJ8" s="155">
        <f>+IF(AND(CALCULO!AJ8&lt;&gt;"", CALCULO!AJ8&gt;0), CALCULO!AJ8, 0)</f>
        <v>0</v>
      </c>
      <c r="AK8" s="155">
        <f>+IF(AND(CALCULO!AK8&lt;&gt;"", CALCULO!AK8&gt;0), CALCULO!AK8, 0)</f>
        <v>0</v>
      </c>
      <c r="AL8" s="155">
        <f>+IF(AND(CALCULO!AL8&lt;&gt;"", CALCULO!AL8&gt;0), CALCULO!AL8, 0)</f>
        <v>0</v>
      </c>
      <c r="AM8" s="155">
        <f>+IF(AND(CALCULO!AM8&lt;&gt;"", CALCULO!AM8&gt;0), CALCULO!AM8, 0)</f>
        <v>0</v>
      </c>
      <c r="AN8" s="155">
        <f>+IF(AND(CALCULO!AN8&lt;&gt;"", CALCULO!AN8&gt;0), CALCULO!AN8, 0)</f>
        <v>0</v>
      </c>
      <c r="AO8" s="155">
        <f>+IF(AND(CALCULO!AO8&lt;&gt;"", CALCULO!AO8&gt;0), CALCULO!AO8, 0)</f>
        <v>0</v>
      </c>
      <c r="AP8" s="155">
        <f>+IF(AND(CALCULO!AP8&lt;&gt;"", CALCULO!AP8&gt;0), CALCULO!AP8, 0)</f>
        <v>0</v>
      </c>
      <c r="AQ8" s="155">
        <f>+IF(AND(CALCULO!AQ8&lt;&gt;"", CALCULO!AQ8&gt;0), CALCULO!AQ8, 0)</f>
        <v>1</v>
      </c>
      <c r="AR8" s="155">
        <f>+IF(AND(CALCULO!AR8&lt;&gt;"", CALCULO!AR8&gt;0), CALCULO!AR8, 0)</f>
        <v>0</v>
      </c>
      <c r="AS8" s="155">
        <f>+IF(AND(CALCULO!AS8&lt;&gt;"", CALCULO!AS8&gt;0), CALCULO!AS8, 0)</f>
        <v>0</v>
      </c>
      <c r="AT8" s="155">
        <f>+IF(AND(CALCULO!AT8&lt;&gt;"", CALCULO!AT8&gt;0), CALCULO!AT8, 0)</f>
        <v>0</v>
      </c>
      <c r="AU8" s="155">
        <f>+IF(AND(CALCULO!AU8&lt;&gt;"", CALCULO!AU8&gt;0), CALCULO!AU8, 0)</f>
        <v>0</v>
      </c>
      <c r="AV8" s="155">
        <f>+IF(AND(CALCULO!AV8&lt;&gt;"", CALCULO!AV8&gt;0), CALCULO!AV8, 0)</f>
        <v>5</v>
      </c>
      <c r="AW8" s="155">
        <f>+IF(AND(CALCULO!AW8&lt;&gt;"", CALCULO!AW8&gt;0), CALCULO!AW8, 0)</f>
        <v>0</v>
      </c>
      <c r="BE8" s="155"/>
    </row>
    <row r="9" spans="1:59" s="151" customFormat="1" x14ac:dyDescent="0.25">
      <c r="A9" s="302"/>
      <c r="B9" s="153"/>
      <c r="C9" s="265">
        <f t="shared" si="0"/>
        <v>0</v>
      </c>
      <c r="D9" s="155" t="str">
        <f>+IF(AND(CALCULO!D9&lt;&gt;"", CALCULO!D9&gt;0), CALCULO!D9, "")</f>
        <v/>
      </c>
      <c r="E9" s="155" t="str">
        <f>+IF(AND(CALCULO!E9&lt;&gt;"", CALCULO!E9&gt;0), CALCULO!E9, "")</f>
        <v/>
      </c>
      <c r="F9" s="155">
        <f>+IF(AND(CALCULO!F9&lt;&gt;"", CALCULO!F9&gt;0), CALCULO!F9, 0)</f>
        <v>0</v>
      </c>
      <c r="G9" s="155">
        <f>+IF(AND(CALCULO!G9&lt;&gt;"", CALCULO!G9&gt;0), CALCULO!G9, 0)</f>
        <v>0</v>
      </c>
      <c r="H9" s="155">
        <f>+IF(AND(CALCULO!H9&lt;&gt;"", CALCULO!H9&gt;0), CALCULO!H9, 0)</f>
        <v>0</v>
      </c>
      <c r="I9" s="155">
        <f>+IF(AND(CALCULO!I9&lt;&gt;"", CALCULO!I9&gt;0), CALCULO!I9, 0)</f>
        <v>0</v>
      </c>
      <c r="J9" s="155">
        <f>+IF(AND(CALCULO!J9&lt;&gt;"", CALCULO!J9&gt;0), CALCULO!J9, 0)</f>
        <v>0</v>
      </c>
      <c r="K9" s="155">
        <f>+IF(AND(CALCULO!K9&lt;&gt;"", CALCULO!K9&gt;0), CALCULO!K9, 0)</f>
        <v>0</v>
      </c>
      <c r="L9" s="155">
        <f>+IF(AND(CALCULO!L9&lt;&gt;"", CALCULO!L9&gt;0), CALCULO!L9, 0)</f>
        <v>0</v>
      </c>
      <c r="M9" s="155">
        <f>+IF(AND(CALCULO!M9&lt;&gt;"", CALCULO!M9&gt;0), CALCULO!M9, 0)</f>
        <v>0</v>
      </c>
      <c r="N9" s="155">
        <f>+IF(AND(CALCULO!N9&lt;&gt;"", CALCULO!N9&gt;0), CALCULO!N9, 0)</f>
        <v>0</v>
      </c>
      <c r="O9" s="155">
        <f>+IF(AND(CALCULO!O9&lt;&gt;"", CALCULO!O9&gt;0), CALCULO!O9, 0)</f>
        <v>0</v>
      </c>
      <c r="P9" s="155">
        <f>+IF(AND(CALCULO!P9&lt;&gt;"", CALCULO!P9&gt;0), CALCULO!P9, 0)</f>
        <v>0</v>
      </c>
      <c r="Q9" s="155">
        <f>+IF(AND(CALCULO!Q9&lt;&gt;"", CALCULO!Q9&gt;0), CALCULO!Q9, 0)</f>
        <v>0</v>
      </c>
      <c r="R9" s="155">
        <f>+IF(AND(CALCULO!R9&lt;&gt;"", CALCULO!R9&gt;0), CALCULO!R9, 0)</f>
        <v>0</v>
      </c>
      <c r="S9" s="155">
        <f>+IF(AND(CALCULO!S9&lt;&gt;"", CALCULO!S9&gt;0), CALCULO!S9, 0)</f>
        <v>0</v>
      </c>
      <c r="T9" s="155">
        <f>+IF(AND(CALCULO!T9&lt;&gt;"", CALCULO!T9&gt;0), CALCULO!T9, 0)</f>
        <v>0</v>
      </c>
      <c r="U9" s="155">
        <f>+IF(AND(CALCULO!U9&lt;&gt;"", CALCULO!U9&gt;0), CALCULO!U9, 0)</f>
        <v>0</v>
      </c>
      <c r="V9" s="155">
        <f>+IF(AND(CALCULO!V9&lt;&gt;"", CALCULO!V9&gt;0), CALCULO!V9, 0)</f>
        <v>0</v>
      </c>
      <c r="W9" s="155">
        <f>+IF(AND(CALCULO!W9&lt;&gt;"", CALCULO!W9&gt;0), CALCULO!W9, 0)</f>
        <v>0</v>
      </c>
      <c r="X9" s="155">
        <f>+IF(AND(CALCULO!X9&lt;&gt;"", CALCULO!X9&gt;0), CALCULO!X9, 0)</f>
        <v>0</v>
      </c>
      <c r="Y9" s="155">
        <f>+IF(AND(CALCULO!Y9&lt;&gt;"", CALCULO!Y9&gt;0), CALCULO!Y9, 0)</f>
        <v>0</v>
      </c>
      <c r="Z9" s="155">
        <f>+IF(AND(CALCULO!Z9&lt;&gt;"", CALCULO!Z9&gt;0), CALCULO!Z9, 0)</f>
        <v>0</v>
      </c>
      <c r="AA9" s="155">
        <f>+IF(AND(CALCULO!AA9&lt;&gt;"", CALCULO!AA9&gt;0), CALCULO!AA9, 0)</f>
        <v>0</v>
      </c>
      <c r="AB9" s="155">
        <f>+IF(AND(CALCULO!AB9&lt;&gt;"", CALCULO!AB9&gt;0), CALCULO!AB9, 0)</f>
        <v>0</v>
      </c>
      <c r="AC9" s="155">
        <f>+IF(AND(CALCULO!AC9&lt;&gt;"", CALCULO!AC9&gt;0), CALCULO!AC9, 0)</f>
        <v>0</v>
      </c>
      <c r="AD9" s="155">
        <f>+IF(AND(CALCULO!AD9&lt;&gt;"", CALCULO!AD9&gt;0), CALCULO!AD9, 0)</f>
        <v>0</v>
      </c>
      <c r="AE9" s="155">
        <f>+IF(AND(CALCULO!AE9&lt;&gt;"", CALCULO!AE9&gt;0), CALCULO!AE9, 0)</f>
        <v>0</v>
      </c>
      <c r="AF9" s="155">
        <f>+IF(AND(CALCULO!AF9&lt;&gt;"", CALCULO!AF9&gt;0), CALCULO!AF9, 0)</f>
        <v>0</v>
      </c>
      <c r="AG9" s="155">
        <f>+IF(AND(CALCULO!AG9&lt;&gt;"", CALCULO!AG9&gt;0), CALCULO!AG9, 0)</f>
        <v>0</v>
      </c>
      <c r="AH9" s="155">
        <f>+IF(AND(CALCULO!AH9&lt;&gt;"", CALCULO!AH9&gt;0), CALCULO!AH9, 0)</f>
        <v>0</v>
      </c>
      <c r="AI9" s="155">
        <f>+IF(AND(CALCULO!AI9&lt;&gt;"", CALCULO!AI9&gt;0), CALCULO!AI9, 0)</f>
        <v>0</v>
      </c>
      <c r="AJ9" s="155">
        <f>+IF(AND(CALCULO!AJ9&lt;&gt;"", CALCULO!AJ9&gt;0), CALCULO!AJ9, 0)</f>
        <v>0</v>
      </c>
      <c r="AK9" s="155">
        <f>+IF(AND(CALCULO!AK9&lt;&gt;"", CALCULO!AK9&gt;0), CALCULO!AK9, 0)</f>
        <v>0</v>
      </c>
      <c r="AL9" s="155">
        <f>+IF(AND(CALCULO!AL9&lt;&gt;"", CALCULO!AL9&gt;0), CALCULO!AL9, 0)</f>
        <v>0</v>
      </c>
      <c r="AM9" s="155">
        <f>+IF(AND(CALCULO!AM9&lt;&gt;"", CALCULO!AM9&gt;0), CALCULO!AM9, 0)</f>
        <v>0</v>
      </c>
      <c r="AN9" s="155">
        <f>+IF(AND(CALCULO!AN9&lt;&gt;"", CALCULO!AN9&gt;0), CALCULO!AN9, 0)</f>
        <v>0</v>
      </c>
      <c r="AO9" s="155">
        <f>+IF(AND(CALCULO!AO9&lt;&gt;"", CALCULO!AO9&gt;0), CALCULO!AO9, 0)</f>
        <v>0</v>
      </c>
      <c r="AP9" s="155">
        <f>+IF(AND(CALCULO!AP9&lt;&gt;"", CALCULO!AP9&gt;0), CALCULO!AP9, 0)</f>
        <v>0</v>
      </c>
      <c r="AQ9" s="155">
        <f>+IF(AND(CALCULO!AQ9&lt;&gt;"", CALCULO!AQ9&gt;0), CALCULO!AQ9, 0)</f>
        <v>0</v>
      </c>
      <c r="AR9" s="155">
        <f>+IF(AND(CALCULO!AR9&lt;&gt;"", CALCULO!AR9&gt;0), CALCULO!AR9, 0)</f>
        <v>0</v>
      </c>
      <c r="AS9" s="155">
        <f>+IF(AND(CALCULO!AS9&lt;&gt;"", CALCULO!AS9&gt;0), CALCULO!AS9, 0)</f>
        <v>0</v>
      </c>
      <c r="AT9" s="155">
        <f>+IF(AND(CALCULO!AT9&lt;&gt;"", CALCULO!AT9&gt;0), CALCULO!AT9, 0)</f>
        <v>0</v>
      </c>
      <c r="AU9" s="155">
        <f>+IF(AND(CALCULO!AU9&lt;&gt;"", CALCULO!AU9&gt;0), CALCULO!AU9, 0)</f>
        <v>0</v>
      </c>
      <c r="AV9" s="155">
        <f>+IF(AND(CALCULO!AV9&lt;&gt;"", CALCULO!AV9&gt;0), CALCULO!AV9, 0)</f>
        <v>0</v>
      </c>
      <c r="AW9" s="155">
        <f>+IF(AND(CALCULO!AW9&lt;&gt;"", CALCULO!AW9&gt;0), CALCULO!AW9, 0)</f>
        <v>0</v>
      </c>
      <c r="BE9" s="155"/>
    </row>
    <row r="10" spans="1:59" s="151" customFormat="1" x14ac:dyDescent="0.25">
      <c r="A10" s="302"/>
      <c r="B10" s="153"/>
      <c r="C10" s="265">
        <f t="shared" si="0"/>
        <v>0</v>
      </c>
      <c r="D10" s="155" t="str">
        <f>+IF(AND(CALCULO!D10&lt;&gt;"", CALCULO!D10&gt;0), CALCULO!D10, "")</f>
        <v/>
      </c>
      <c r="E10" s="155" t="str">
        <f>+IF(AND(CALCULO!E10&lt;&gt;"", CALCULO!E10&gt;0), CALCULO!E10, "")</f>
        <v/>
      </c>
      <c r="F10" s="155">
        <f>+IF(AND(CALCULO!F10&lt;&gt;"", CALCULO!F10&gt;0), CALCULO!F10, 0)</f>
        <v>0</v>
      </c>
      <c r="G10" s="155">
        <f>+IF(AND(CALCULO!G10&lt;&gt;"", CALCULO!G10&gt;0), CALCULO!G10, 0)</f>
        <v>0</v>
      </c>
      <c r="H10" s="155">
        <f>+IF(AND(CALCULO!H10&lt;&gt;"", CALCULO!H10&gt;0), CALCULO!H10, 0)</f>
        <v>0</v>
      </c>
      <c r="I10" s="155">
        <f>+IF(AND(CALCULO!I10&lt;&gt;"", CALCULO!I10&gt;0), CALCULO!I10, 0)</f>
        <v>0</v>
      </c>
      <c r="J10" s="155">
        <f>+IF(AND(CALCULO!J10&lt;&gt;"", CALCULO!J10&gt;0), CALCULO!J10, 0)</f>
        <v>0</v>
      </c>
      <c r="K10" s="155">
        <f>+IF(AND(CALCULO!K10&lt;&gt;"", CALCULO!K10&gt;0), CALCULO!K10, 0)</f>
        <v>0</v>
      </c>
      <c r="L10" s="155">
        <f>+IF(AND(CALCULO!L10&lt;&gt;"", CALCULO!L10&gt;0), CALCULO!L10, 0)</f>
        <v>0</v>
      </c>
      <c r="M10" s="155">
        <f>+IF(AND(CALCULO!M10&lt;&gt;"", CALCULO!M10&gt;0), CALCULO!M10, 0)</f>
        <v>0</v>
      </c>
      <c r="N10" s="155">
        <f>+IF(AND(CALCULO!N10&lt;&gt;"", CALCULO!N10&gt;0), CALCULO!N10, 0)</f>
        <v>0</v>
      </c>
      <c r="O10" s="155">
        <f>+IF(AND(CALCULO!O10&lt;&gt;"", CALCULO!O10&gt;0), CALCULO!O10, 0)</f>
        <v>0</v>
      </c>
      <c r="P10" s="155">
        <f>+IF(AND(CALCULO!P10&lt;&gt;"", CALCULO!P10&gt;0), CALCULO!P10, 0)</f>
        <v>0</v>
      </c>
      <c r="Q10" s="155">
        <f>+IF(AND(CALCULO!Q10&lt;&gt;"", CALCULO!Q10&gt;0), CALCULO!Q10, 0)</f>
        <v>0</v>
      </c>
      <c r="R10" s="155">
        <f>+IF(AND(CALCULO!R10&lt;&gt;"", CALCULO!R10&gt;0), CALCULO!R10, 0)</f>
        <v>0</v>
      </c>
      <c r="S10" s="155">
        <f>+IF(AND(CALCULO!S10&lt;&gt;"", CALCULO!S10&gt;0), CALCULO!S10, 0)</f>
        <v>0</v>
      </c>
      <c r="T10" s="155">
        <f>+IF(AND(CALCULO!T10&lt;&gt;"", CALCULO!T10&gt;0), CALCULO!T10, 0)</f>
        <v>0</v>
      </c>
      <c r="U10" s="155">
        <f>+IF(AND(CALCULO!U10&lt;&gt;"", CALCULO!U10&gt;0), CALCULO!U10, 0)</f>
        <v>0</v>
      </c>
      <c r="V10" s="155">
        <f>+IF(AND(CALCULO!V10&lt;&gt;"", CALCULO!V10&gt;0), CALCULO!V10, 0)</f>
        <v>0</v>
      </c>
      <c r="W10" s="155">
        <f>+IF(AND(CALCULO!W10&lt;&gt;"", CALCULO!W10&gt;0), CALCULO!W10, 0)</f>
        <v>0</v>
      </c>
      <c r="X10" s="155">
        <f>+IF(AND(CALCULO!X10&lt;&gt;"", CALCULO!X10&gt;0), CALCULO!X10, 0)</f>
        <v>0</v>
      </c>
      <c r="Y10" s="155">
        <f>+IF(AND(CALCULO!Y10&lt;&gt;"", CALCULO!Y10&gt;0), CALCULO!Y10, 0)</f>
        <v>0</v>
      </c>
      <c r="Z10" s="155">
        <f>+IF(AND(CALCULO!Z10&lt;&gt;"", CALCULO!Z10&gt;0), CALCULO!Z10, 0)</f>
        <v>0</v>
      </c>
      <c r="AA10" s="155">
        <f>+IF(AND(CALCULO!AA10&lt;&gt;"", CALCULO!AA10&gt;0), CALCULO!AA10, 0)</f>
        <v>0</v>
      </c>
      <c r="AB10" s="155">
        <f>+IF(AND(CALCULO!AB10&lt;&gt;"", CALCULO!AB10&gt;0), CALCULO!AB10, 0)</f>
        <v>0</v>
      </c>
      <c r="AC10" s="155">
        <f>+IF(AND(CALCULO!AC10&lt;&gt;"", CALCULO!AC10&gt;0), CALCULO!AC10, 0)</f>
        <v>0</v>
      </c>
      <c r="AD10" s="155">
        <f>+IF(AND(CALCULO!AD10&lt;&gt;"", CALCULO!AD10&gt;0), CALCULO!AD10, 0)</f>
        <v>0</v>
      </c>
      <c r="AE10" s="155">
        <f>+IF(AND(CALCULO!AE10&lt;&gt;"", CALCULO!AE10&gt;0), CALCULO!AE10, 0)</f>
        <v>0</v>
      </c>
      <c r="AF10" s="155">
        <f>+IF(AND(CALCULO!AF10&lt;&gt;"", CALCULO!AF10&gt;0), CALCULO!AF10, 0)</f>
        <v>0</v>
      </c>
      <c r="AG10" s="155">
        <f>+IF(AND(CALCULO!AG10&lt;&gt;"", CALCULO!AG10&gt;0), CALCULO!AG10, 0)</f>
        <v>0</v>
      </c>
      <c r="AH10" s="155">
        <f>+IF(AND(CALCULO!AH10&lt;&gt;"", CALCULO!AH10&gt;0), CALCULO!AH10, 0)</f>
        <v>0</v>
      </c>
      <c r="AI10" s="155">
        <f>+IF(AND(CALCULO!AI10&lt;&gt;"", CALCULO!AI10&gt;0), CALCULO!AI10, 0)</f>
        <v>0</v>
      </c>
      <c r="AJ10" s="155">
        <f>+IF(AND(CALCULO!AJ10&lt;&gt;"", CALCULO!AJ10&gt;0), CALCULO!AJ10, 0)</f>
        <v>0</v>
      </c>
      <c r="AK10" s="155">
        <f>+IF(AND(CALCULO!AK10&lt;&gt;"", CALCULO!AK10&gt;0), CALCULO!AK10, 0)</f>
        <v>0</v>
      </c>
      <c r="AL10" s="155">
        <f>+IF(AND(CALCULO!AL10&lt;&gt;"", CALCULO!AL10&gt;0), CALCULO!AL10, 0)</f>
        <v>0</v>
      </c>
      <c r="AM10" s="155">
        <f>+IF(AND(CALCULO!AM10&lt;&gt;"", CALCULO!AM10&gt;0), CALCULO!AM10, 0)</f>
        <v>0</v>
      </c>
      <c r="AN10" s="155">
        <f>+IF(AND(CALCULO!AN10&lt;&gt;"", CALCULO!AN10&gt;0), CALCULO!AN10, 0)</f>
        <v>0</v>
      </c>
      <c r="AO10" s="155">
        <f>+IF(AND(CALCULO!AO10&lt;&gt;"", CALCULO!AO10&gt;0), CALCULO!AO10, 0)</f>
        <v>0</v>
      </c>
      <c r="AP10" s="155">
        <f>+IF(AND(CALCULO!AP10&lt;&gt;"", CALCULO!AP10&gt;0), CALCULO!AP10, 0)</f>
        <v>0</v>
      </c>
      <c r="AQ10" s="155">
        <f>+IF(AND(CALCULO!AQ10&lt;&gt;"", CALCULO!AQ10&gt;0), CALCULO!AQ10, 0)</f>
        <v>0</v>
      </c>
      <c r="AR10" s="155">
        <f>+IF(AND(CALCULO!AR10&lt;&gt;"", CALCULO!AR10&gt;0), CALCULO!AR10, 0)</f>
        <v>0</v>
      </c>
      <c r="AS10" s="155">
        <f>+IF(AND(CALCULO!AS10&lt;&gt;"", CALCULO!AS10&gt;0), CALCULO!AS10, 0)</f>
        <v>0</v>
      </c>
      <c r="AT10" s="155">
        <f>+IF(AND(CALCULO!AT10&lt;&gt;"", CALCULO!AT10&gt;0), CALCULO!AT10, 0)</f>
        <v>0</v>
      </c>
      <c r="AU10" s="155">
        <f>+IF(AND(CALCULO!AU10&lt;&gt;"", CALCULO!AU10&gt;0), CALCULO!AU10, 0)</f>
        <v>0</v>
      </c>
      <c r="AV10" s="155">
        <f>+IF(AND(CALCULO!AV10&lt;&gt;"", CALCULO!AV10&gt;0), CALCULO!AV10, 0)</f>
        <v>0</v>
      </c>
      <c r="AW10" s="155">
        <f>+IF(AND(CALCULO!AW10&lt;&gt;"", CALCULO!AW10&gt;0), CALCULO!AW10, 0)</f>
        <v>0</v>
      </c>
      <c r="BE10" s="155"/>
    </row>
    <row r="11" spans="1:59" s="151" customFormat="1" ht="15.75" thickBot="1" x14ac:dyDescent="0.3">
      <c r="A11" s="302"/>
      <c r="B11" s="153"/>
      <c r="C11" s="265">
        <f t="shared" si="0"/>
        <v>0</v>
      </c>
      <c r="D11" s="155" t="str">
        <f>+IF(AND(CALCULO!D11&lt;&gt;"", CALCULO!D11&gt;0), CALCULO!D11, "")</f>
        <v/>
      </c>
      <c r="E11" s="155" t="str">
        <f>+IF(AND(CALCULO!E11&lt;&gt;"", CALCULO!E11&gt;0), CALCULO!E11, "")</f>
        <v/>
      </c>
      <c r="F11" s="155">
        <f>+IF(AND(CALCULO!F11&lt;&gt;"", CALCULO!F11&gt;0), CALCULO!F11, 0)</f>
        <v>0</v>
      </c>
      <c r="G11" s="155">
        <f>+IF(AND(CALCULO!G11&lt;&gt;"", CALCULO!G11&gt;0), CALCULO!G11, 0)</f>
        <v>0</v>
      </c>
      <c r="H11" s="155">
        <f>+IF(AND(CALCULO!H11&lt;&gt;"", CALCULO!H11&gt;0), CALCULO!H11, 0)</f>
        <v>0</v>
      </c>
      <c r="I11" s="155">
        <f>+IF(AND(CALCULO!I11&lt;&gt;"", CALCULO!I11&gt;0), CALCULO!I11, 0)</f>
        <v>0</v>
      </c>
      <c r="J11" s="155">
        <f>+IF(AND(CALCULO!J11&lt;&gt;"", CALCULO!J11&gt;0), CALCULO!J11, 0)</f>
        <v>0</v>
      </c>
      <c r="K11" s="155">
        <f>+IF(AND(CALCULO!K11&lt;&gt;"", CALCULO!K11&gt;0), CALCULO!K11, 0)</f>
        <v>0</v>
      </c>
      <c r="L11" s="155">
        <f>+IF(AND(CALCULO!L11&lt;&gt;"", CALCULO!L11&gt;0), CALCULO!L11, 0)</f>
        <v>0</v>
      </c>
      <c r="M11" s="155">
        <f>+IF(AND(CALCULO!M11&lt;&gt;"", CALCULO!M11&gt;0), CALCULO!M11, 0)</f>
        <v>0</v>
      </c>
      <c r="N11" s="155">
        <f>+IF(AND(CALCULO!N11&lt;&gt;"", CALCULO!N11&gt;0), CALCULO!N11, 0)</f>
        <v>0</v>
      </c>
      <c r="O11" s="155">
        <f>+IF(AND(CALCULO!O11&lt;&gt;"", CALCULO!O11&gt;0), CALCULO!O11, 0)</f>
        <v>0</v>
      </c>
      <c r="P11" s="155">
        <f>+IF(AND(CALCULO!P11&lt;&gt;"", CALCULO!P11&gt;0), CALCULO!P11, 0)</f>
        <v>0</v>
      </c>
      <c r="Q11" s="155">
        <f>+IF(AND(CALCULO!Q11&lt;&gt;"", CALCULO!Q11&gt;0), CALCULO!Q11, 0)</f>
        <v>0</v>
      </c>
      <c r="R11" s="155">
        <f>+IF(AND(CALCULO!R11&lt;&gt;"", CALCULO!R11&gt;0), CALCULO!R11, 0)</f>
        <v>0</v>
      </c>
      <c r="S11" s="155">
        <f>+IF(AND(CALCULO!S11&lt;&gt;"", CALCULO!S11&gt;0), CALCULO!S11, 0)</f>
        <v>0</v>
      </c>
      <c r="T11" s="155">
        <f>+IF(AND(CALCULO!T11&lt;&gt;"", CALCULO!T11&gt;0), CALCULO!T11, 0)</f>
        <v>0</v>
      </c>
      <c r="U11" s="155">
        <f>+IF(AND(CALCULO!U11&lt;&gt;"", CALCULO!U11&gt;0), CALCULO!U11, 0)</f>
        <v>0</v>
      </c>
      <c r="V11" s="155">
        <f>+IF(AND(CALCULO!V11&lt;&gt;"", CALCULO!V11&gt;0), CALCULO!V11, 0)</f>
        <v>0</v>
      </c>
      <c r="W11" s="155">
        <f>+IF(AND(CALCULO!W11&lt;&gt;"", CALCULO!W11&gt;0), CALCULO!W11, 0)</f>
        <v>0</v>
      </c>
      <c r="X11" s="155">
        <f>+IF(AND(CALCULO!X11&lt;&gt;"", CALCULO!X11&gt;0), CALCULO!X11, 0)</f>
        <v>0</v>
      </c>
      <c r="Y11" s="155">
        <f>+IF(AND(CALCULO!Y11&lt;&gt;"", CALCULO!Y11&gt;0), CALCULO!Y11, 0)</f>
        <v>0</v>
      </c>
      <c r="Z11" s="155">
        <f>+IF(AND(CALCULO!Z11&lt;&gt;"", CALCULO!Z11&gt;0), CALCULO!Z11, 0)</f>
        <v>0</v>
      </c>
      <c r="AA11" s="155">
        <f>+IF(AND(CALCULO!AA11&lt;&gt;"", CALCULO!AA11&gt;0), CALCULO!AA11, 0)</f>
        <v>0</v>
      </c>
      <c r="AB11" s="155">
        <f>+IF(AND(CALCULO!AB11&lt;&gt;"", CALCULO!AB11&gt;0), CALCULO!AB11, 0)</f>
        <v>0</v>
      </c>
      <c r="AC11" s="155">
        <f>+IF(AND(CALCULO!AC11&lt;&gt;"", CALCULO!AC11&gt;0), CALCULO!AC11, 0)</f>
        <v>0</v>
      </c>
      <c r="AD11" s="155">
        <f>+IF(AND(CALCULO!AD11&lt;&gt;"", CALCULO!AD11&gt;0), CALCULO!AD11, 0)</f>
        <v>0</v>
      </c>
      <c r="AE11" s="155">
        <f>+IF(AND(CALCULO!AE11&lt;&gt;"", CALCULO!AE11&gt;0), CALCULO!AE11, 0)</f>
        <v>0</v>
      </c>
      <c r="AF11" s="155">
        <f>+IF(AND(CALCULO!AF11&lt;&gt;"", CALCULO!AF11&gt;0), CALCULO!AF11, 0)</f>
        <v>0</v>
      </c>
      <c r="AG11" s="155">
        <f>+IF(AND(CALCULO!AG11&lt;&gt;"", CALCULO!AG11&gt;0), CALCULO!AG11, 0)</f>
        <v>0</v>
      </c>
      <c r="AH11" s="155">
        <f>+IF(AND(CALCULO!AH11&lt;&gt;"", CALCULO!AH11&gt;0), CALCULO!AH11, 0)</f>
        <v>0</v>
      </c>
      <c r="AI11" s="155">
        <f>+IF(AND(CALCULO!AI11&lt;&gt;"", CALCULO!AI11&gt;0), CALCULO!AI11, 0)</f>
        <v>0</v>
      </c>
      <c r="AJ11" s="155">
        <f>+IF(AND(CALCULO!AJ11&lt;&gt;"", CALCULO!AJ11&gt;0), CALCULO!AJ11, 0)</f>
        <v>0</v>
      </c>
      <c r="AK11" s="155">
        <f>+IF(AND(CALCULO!AK11&lt;&gt;"", CALCULO!AK11&gt;0), CALCULO!AK11, 0)</f>
        <v>0</v>
      </c>
      <c r="AL11" s="155">
        <f>+IF(AND(CALCULO!AL11&lt;&gt;"", CALCULO!AL11&gt;0), CALCULO!AL11, 0)</f>
        <v>0</v>
      </c>
      <c r="AM11" s="155">
        <f>+IF(AND(CALCULO!AM11&lt;&gt;"", CALCULO!AM11&gt;0), CALCULO!AM11, 0)</f>
        <v>0</v>
      </c>
      <c r="AN11" s="155">
        <f>+IF(AND(CALCULO!AN11&lt;&gt;"", CALCULO!AN11&gt;0), CALCULO!AN11, 0)</f>
        <v>0</v>
      </c>
      <c r="AO11" s="155">
        <f>+IF(AND(CALCULO!AO11&lt;&gt;"", CALCULO!AO11&gt;0), CALCULO!AO11, 0)</f>
        <v>0</v>
      </c>
      <c r="AP11" s="155">
        <f>+IF(AND(CALCULO!AP11&lt;&gt;"", CALCULO!AP11&gt;0), CALCULO!AP11, 0)</f>
        <v>0</v>
      </c>
      <c r="AQ11" s="155">
        <f>+IF(AND(CALCULO!AQ11&lt;&gt;"", CALCULO!AQ11&gt;0), CALCULO!AQ11, 0)</f>
        <v>0</v>
      </c>
      <c r="AR11" s="155">
        <f>+IF(AND(CALCULO!AR11&lt;&gt;"", CALCULO!AR11&gt;0), CALCULO!AR11, 0)</f>
        <v>0</v>
      </c>
      <c r="AS11" s="155">
        <f>+IF(AND(CALCULO!AS11&lt;&gt;"", CALCULO!AS11&gt;0), CALCULO!AS11, 0)</f>
        <v>0</v>
      </c>
      <c r="AT11" s="155">
        <f>+IF(AND(CALCULO!AT11&lt;&gt;"", CALCULO!AT11&gt;0), CALCULO!AT11, 0)</f>
        <v>0</v>
      </c>
      <c r="AU11" s="155">
        <f>+IF(AND(CALCULO!AU11&lt;&gt;"", CALCULO!AU11&gt;0), CALCULO!AU11, 0)</f>
        <v>0</v>
      </c>
      <c r="AV11" s="155">
        <f>+IF(AND(CALCULO!AV11&lt;&gt;"", CALCULO!AV11&gt;0), CALCULO!AV11, 0)</f>
        <v>0</v>
      </c>
      <c r="AW11" s="155">
        <f>+IF(AND(CALCULO!AW11&lt;&gt;"", CALCULO!AW11&gt;0), CALCULO!AW11, 0)</f>
        <v>0</v>
      </c>
      <c r="BE11" s="155"/>
    </row>
    <row r="12" spans="1:59" s="151" customFormat="1" ht="15.75" thickBot="1" x14ac:dyDescent="0.3">
      <c r="A12" s="529" t="s">
        <v>39</v>
      </c>
      <c r="B12" s="451"/>
      <c r="C12" s="155">
        <f t="shared" si="0"/>
        <v>0</v>
      </c>
      <c r="D12" s="155"/>
      <c r="E12" s="155" t="str">
        <f>+IF(AND(CALCULO!E12&lt;&gt;"", CALCULO!E12&gt;0), CALCULO!E12, "")</f>
        <v/>
      </c>
      <c r="F12" s="155">
        <f>+IF(AND(CALCULO!F12&lt;&gt;"", CALCULO!F12&gt;0), CALCULO!F12, 0)</f>
        <v>0</v>
      </c>
      <c r="G12" s="155">
        <f>+IF(AND(CALCULO!G12&lt;&gt;"", CALCULO!G12&gt;0), CALCULO!G12, 0)</f>
        <v>0</v>
      </c>
      <c r="H12" s="155">
        <f>+IF(AND(CALCULO!H12&lt;&gt;"", CALCULO!H12&gt;0), CALCULO!H12, 0)</f>
        <v>0</v>
      </c>
      <c r="I12" s="155">
        <f>+IF(AND(CALCULO!I12&lt;&gt;"", CALCULO!I12&gt;0), CALCULO!I12, 0)</f>
        <v>0</v>
      </c>
      <c r="J12" s="155">
        <f>+IF(AND(CALCULO!J12&lt;&gt;"", CALCULO!J12&gt;0), CALCULO!J12, 0)</f>
        <v>0</v>
      </c>
      <c r="K12" s="155">
        <f>+IF(AND(CALCULO!K12&lt;&gt;"",CALCULO!K12&gt;0),CALCULO!K12,0)</f>
        <v>0</v>
      </c>
      <c r="L12" s="155">
        <f>+IF(AND(CALCULO!L12&lt;&gt;"", CALCULO!L12&gt;0), CALCULO!L12, 0)</f>
        <v>0</v>
      </c>
      <c r="M12" s="155">
        <f>+IF(AND(CALCULO!M12&lt;&gt;"", CALCULO!M12&gt;0), CALCULO!M12, 0)</f>
        <v>0</v>
      </c>
      <c r="N12" s="155">
        <f>+IF(AND(CALCULO!N12&lt;&gt;"", CALCULO!N12&gt;0), CALCULO!N12, 0)</f>
        <v>0</v>
      </c>
      <c r="O12" s="155">
        <f>+IF(AND(CALCULO!O12&lt;&gt;"", CALCULO!O12&gt;0), CALCULO!O12, 0)</f>
        <v>0</v>
      </c>
      <c r="P12" s="155">
        <f>+IF(AND(CALCULO!P12&lt;&gt;"", CALCULO!P12&gt;0), CALCULO!P12, 0)</f>
        <v>0</v>
      </c>
      <c r="Q12" s="189">
        <f>+IF(AND(CALCULO!Q12&lt;&gt;"", CALCULO!Q12&gt;0), CALCULO!Q12, 0)</f>
        <v>0</v>
      </c>
      <c r="R12" s="189">
        <f>+IF(AND(CALCULO!R12&lt;&gt;"", CALCULO!R12&gt;0), CALCULO!R12, 0)</f>
        <v>0</v>
      </c>
      <c r="S12" s="189">
        <f>+IF(AND(CALCULO!S12&lt;&gt;"", CALCULO!S12&gt;0), CALCULO!S12, 0)</f>
        <v>0</v>
      </c>
      <c r="T12" s="189">
        <f>+IF(AND(CALCULO!T12&lt;&gt;"", CALCULO!T12&gt;0), CALCULO!T12, 0)</f>
        <v>0</v>
      </c>
      <c r="U12" s="189">
        <f>+IF(AND(CALCULO!U12&lt;&gt;"", CALCULO!U12&gt;0), CALCULO!U12, 0)</f>
        <v>0</v>
      </c>
      <c r="V12" s="189">
        <f>+IF(AND(CALCULO!V12&lt;&gt;"", CALCULO!V12&gt;0), CALCULO!V12, 0)</f>
        <v>0</v>
      </c>
      <c r="W12" s="189">
        <f>+IF(AND(CALCULO!W12&lt;&gt;"", CALCULO!W12&gt;0), CALCULO!W12, 0)</f>
        <v>0</v>
      </c>
      <c r="X12" s="189">
        <f>+IF(AND(CALCULO!X12&lt;&gt;"", CALCULO!X12&gt;0), CALCULO!X12, 0)</f>
        <v>0</v>
      </c>
      <c r="Y12" s="189">
        <f>+IF(AND(CALCULO!Y12&lt;&gt;"", CALCULO!Y12&gt;0), CALCULO!Y12, 0)</f>
        <v>0</v>
      </c>
      <c r="Z12" s="189">
        <f>+IF(AND(CALCULO!Z12&lt;&gt;"", CALCULO!Z12&gt;0), CALCULO!Z12, 0)</f>
        <v>0</v>
      </c>
      <c r="AA12" s="189">
        <f>+IF(AND(CALCULO!AA12&lt;&gt;"", CALCULO!AA12&gt;0), CALCULO!AA12, 0)</f>
        <v>0</v>
      </c>
      <c r="AB12" s="189">
        <f>+IF(AND(CALCULO!AB12&lt;&gt;"", CALCULO!AB12&gt;0), CALCULO!AB12, 0)</f>
        <v>0</v>
      </c>
      <c r="AC12" s="189">
        <f>+IF(AND(CALCULO!AC12&lt;&gt;"", CALCULO!AC12&gt;0), CALCULO!AC12, 0)</f>
        <v>0</v>
      </c>
      <c r="AD12" s="189">
        <f>+IF(AND(CALCULO!AD12&lt;&gt;"", CALCULO!AD12&gt;0), CALCULO!AD12, 0)</f>
        <v>0</v>
      </c>
      <c r="AE12" s="189">
        <f>+IF(AND(CALCULO!AE12&lt;&gt;"", CALCULO!AE12&gt;0), CALCULO!AE12, 0)</f>
        <v>0</v>
      </c>
      <c r="AF12" s="189">
        <f>+IF(AND(CALCULO!AF12&lt;&gt;"", CALCULO!AF12&gt;0), CALCULO!AF12, 0)</f>
        <v>0</v>
      </c>
      <c r="AG12" s="189">
        <f>+IF(AND(CALCULO!AG12&lt;&gt;"", CALCULO!AG12&gt;0), CALCULO!AG12, 0)</f>
        <v>0</v>
      </c>
      <c r="AH12" s="189">
        <f>+IF(AND(CALCULO!AH12&lt;&gt;"", CALCULO!AH12&gt;0), CALCULO!AH12, 0)</f>
        <v>0</v>
      </c>
      <c r="AI12" s="189">
        <f>+IF(AND(CALCULO!AI12&lt;&gt;"", CALCULO!AI12&gt;0), CALCULO!AI12, 0)</f>
        <v>0</v>
      </c>
      <c r="AJ12" s="189">
        <f>+IF(AND(CALCULO!AJ12&lt;&gt;"", CALCULO!AJ12&gt;0), CALCULO!AJ12, 0)</f>
        <v>0</v>
      </c>
      <c r="AK12" s="189">
        <f>+IF(AND(CALCULO!AK12&lt;&gt;"", CALCULO!AK12&gt;0), CALCULO!AK12, 0)</f>
        <v>0</v>
      </c>
      <c r="AL12" s="189">
        <f>+IF(AND(CALCULO!AL12&lt;&gt;"", CALCULO!AL12&gt;0), CALCULO!AL12, 0)</f>
        <v>0</v>
      </c>
      <c r="AM12" s="189">
        <f>+IF(AND(CALCULO!AM12&lt;&gt;"", CALCULO!AM12&gt;0), CALCULO!AM12, 0)</f>
        <v>0</v>
      </c>
      <c r="AN12" s="204">
        <f>+IF(AND(CALCULO!AN12&lt;&gt;"", CALCULO!AN12&gt;0), CALCULO!AN12, 0)</f>
        <v>0</v>
      </c>
      <c r="AO12" s="189">
        <f>+IF(AND(CALCULO!AO12&lt;&gt;"", CALCULO!AO12&gt;0), CALCULO!AO12, 0)</f>
        <v>0</v>
      </c>
      <c r="AP12" s="189">
        <f>+IF(AND(CALCULO!AP12&lt;&gt;"", CALCULO!AP12&gt;0), CALCULO!AP12, 0)</f>
        <v>0</v>
      </c>
      <c r="AQ12" s="189">
        <f>+IF(AND(CALCULO!AQ12&lt;&gt;"", CALCULO!AQ12&gt;0), CALCULO!AQ12, 0)</f>
        <v>0</v>
      </c>
      <c r="AR12" s="189">
        <f>+IF(AND(CALCULO!AT12&lt;&gt;"", CALCULO!AT12&gt;0), CALCULO!AT12, 0)</f>
        <v>0</v>
      </c>
      <c r="AS12" s="189">
        <f>+IF(AND(CALCULO!AU12&lt;&gt;"", CALCULO!AU12&gt;0), CALCULO!AU12, 0)</f>
        <v>0</v>
      </c>
      <c r="AT12" s="189">
        <f>+IF(AND(CALCULO!AR12&lt;&gt;"", CALCULO!AR12&gt;0), CALCULO!AR12, 0)</f>
        <v>0</v>
      </c>
      <c r="AU12" s="189">
        <f>+IF(AND(CALCULO!AS12&lt;&gt;"", CALCULO!AS12&gt;0), CALCULO!AS12, 0)</f>
        <v>0</v>
      </c>
      <c r="AV12" s="189">
        <f>+IF(AND(CALCULO!AW12&lt;&gt;"", CALCULO!AW12&gt;0), CALCULO!AW12, 0)</f>
        <v>0</v>
      </c>
      <c r="AW12" s="190">
        <f>+IF(AND(CALCULO!AX12&lt;&gt;"", CALCULO!AX12&gt;0), CALCULO!AX12, 0)</f>
        <v>0</v>
      </c>
      <c r="BE12" s="155" t="str">
        <f>+IF(AND(CALCULO!AV12&lt;&gt;"", CALCULO!AV12&gt;0), CALCULO!AV12, "0")</f>
        <v>0</v>
      </c>
    </row>
    <row r="13" spans="1:59" s="151" customFormat="1" ht="15.75" thickBot="1" x14ac:dyDescent="0.3">
      <c r="A13" s="423" t="s">
        <v>40</v>
      </c>
      <c r="B13" s="156" t="s">
        <v>41</v>
      </c>
      <c r="C13" s="155">
        <f t="shared" si="0"/>
        <v>0</v>
      </c>
      <c r="D13" s="155"/>
      <c r="E13" s="155" t="str">
        <f>+IF(AND(CALCULO!E13&lt;&gt;"", CALCULO!E13&gt;0), CALCULO!E13, "")</f>
        <v/>
      </c>
      <c r="F13" s="183">
        <f>+IF(AND(CALCULO!F13&lt;&gt;"", CALCULO!F13&gt;0), CALCULO!F13, 0)</f>
        <v>0</v>
      </c>
      <c r="G13" s="183">
        <f>+IF(AND(CALCULO!G13&lt;&gt;"", CALCULO!G13&gt;0), CALCULO!G13, 0)</f>
        <v>0</v>
      </c>
      <c r="H13" s="155">
        <f>+IF(AND(CALCULO!H13&lt;&gt;"", CALCULO!H13&gt;0), CALCULO!H13, 0)</f>
        <v>0</v>
      </c>
      <c r="I13" s="155">
        <f>+IF(AND(CALCULO!I13&lt;&gt;"", CALCULO!I13&gt;0), CALCULO!I13, 0)</f>
        <v>0</v>
      </c>
      <c r="J13" s="155">
        <f>+IF(AND(CALCULO!J13&lt;&gt;"", CALCULO!J13&gt;0), CALCULO!J13, 0)</f>
        <v>0</v>
      </c>
      <c r="K13" s="155">
        <f>+IF(AND(CALCULO!K13&lt;&gt;"",CALCULO!K13&gt;0),CALCULO!K13,0)</f>
        <v>0</v>
      </c>
      <c r="L13" s="155">
        <f>+IF(AND(CALCULO!L13&lt;&gt;"", CALCULO!L13&gt;0), CALCULO!L13, 0)</f>
        <v>0</v>
      </c>
      <c r="M13" s="155">
        <f>+IF(AND(CALCULO!M13&lt;&gt;"", CALCULO!M13&gt;0), CALCULO!M13, 0)</f>
        <v>0</v>
      </c>
      <c r="N13" s="155">
        <f>+IF(AND(CALCULO!N13&lt;&gt;"", CALCULO!N13&gt;0), CALCULO!N13, 0)</f>
        <v>0</v>
      </c>
      <c r="O13" s="155">
        <f>+IF(AND(CALCULO!O13&lt;&gt;"", CALCULO!O13&gt;0), CALCULO!O13, 0)</f>
        <v>0</v>
      </c>
      <c r="P13" s="155">
        <f>+IF(AND(CALCULO!P13&lt;&gt;"", CALCULO!P13&gt;0), CALCULO!P13, 0)</f>
        <v>0</v>
      </c>
      <c r="Q13" s="189">
        <f>+IF(AND(CALCULO!Q13&lt;&gt;"", CALCULO!Q13&gt;0), CALCULO!Q13, 0)</f>
        <v>0</v>
      </c>
      <c r="R13" s="189">
        <f>+IF(AND(CALCULO!R13&lt;&gt;"", CALCULO!R13&gt;0), CALCULO!R13, 0)</f>
        <v>0</v>
      </c>
      <c r="S13" s="189">
        <f>+IF(AND(CALCULO!S13&lt;&gt;"", CALCULO!S13&gt;0), CALCULO!S13, 0)</f>
        <v>0</v>
      </c>
      <c r="T13" s="189">
        <f>+IF(AND(CALCULO!T13&lt;&gt;"", CALCULO!T13&gt;0), CALCULO!T13, 0)</f>
        <v>0</v>
      </c>
      <c r="U13" s="189">
        <f>+IF(AND(CALCULO!U13&lt;&gt;"", CALCULO!U13&gt;0), CALCULO!U13, 0)</f>
        <v>0</v>
      </c>
      <c r="V13" s="189">
        <f>+IF(AND(CALCULO!V13&lt;&gt;"", CALCULO!V13&gt;0), CALCULO!V13, 0)</f>
        <v>0</v>
      </c>
      <c r="W13" s="189">
        <f>+IF(AND(CALCULO!W13&lt;&gt;"", CALCULO!W13&gt;0), CALCULO!W13, 0)</f>
        <v>0</v>
      </c>
      <c r="X13" s="189">
        <f>+IF(AND(CALCULO!X13&lt;&gt;"", CALCULO!X13&gt;0), CALCULO!X13, 0)</f>
        <v>0</v>
      </c>
      <c r="Y13" s="189">
        <f>+IF(AND(CALCULO!Y13&lt;&gt;"", CALCULO!Y13&gt;0), CALCULO!Y13, 0)</f>
        <v>0</v>
      </c>
      <c r="Z13" s="189">
        <f>+IF(AND(CALCULO!Z13&lt;&gt;"", CALCULO!Z13&gt;0), CALCULO!Z13, 0)</f>
        <v>0</v>
      </c>
      <c r="AA13" s="189">
        <f>+IF(AND(CALCULO!AA13&lt;&gt;"", CALCULO!AA13&gt;0), CALCULO!AA13, 0)</f>
        <v>0</v>
      </c>
      <c r="AB13" s="189">
        <f>+IF(AND(CALCULO!AB13&lt;&gt;"", CALCULO!AB13&gt;0), CALCULO!AB13, 0)</f>
        <v>0</v>
      </c>
      <c r="AC13" s="189">
        <f>+IF(AND(CALCULO!AC13&lt;&gt;"", CALCULO!AC13&gt;0), CALCULO!AC13, 0)</f>
        <v>0</v>
      </c>
      <c r="AD13" s="189">
        <f>+IF(AND(CALCULO!AD13&lt;&gt;"", CALCULO!AD13&gt;0), CALCULO!AD13, 0)</f>
        <v>0</v>
      </c>
      <c r="AE13" s="189">
        <f>+IF(AND(CALCULO!AE13&lt;&gt;"", CALCULO!AE13&gt;0), CALCULO!AE13, 0)</f>
        <v>0</v>
      </c>
      <c r="AF13" s="189">
        <f>+IF(AND(CALCULO!AF13&lt;&gt;"", CALCULO!AF13&gt;0), CALCULO!AF13, 0)</f>
        <v>0</v>
      </c>
      <c r="AG13" s="189">
        <f>+IF(AND(CALCULO!AG13&lt;&gt;"", CALCULO!AG13&gt;0), CALCULO!AG13, 0)</f>
        <v>0</v>
      </c>
      <c r="AH13" s="189">
        <f>+IF(AND(CALCULO!AH13&lt;&gt;"", CALCULO!AH13&gt;0), CALCULO!AH13, 0)</f>
        <v>0</v>
      </c>
      <c r="AI13" s="189">
        <f>+IF(AND(CALCULO!AI13&lt;&gt;"", CALCULO!AI13&gt;0), CALCULO!AI13, 0)</f>
        <v>0</v>
      </c>
      <c r="AJ13" s="189">
        <f>+IF(AND(CALCULO!AJ13&lt;&gt;"", CALCULO!AJ13&gt;0), CALCULO!AJ13, 0)</f>
        <v>0</v>
      </c>
      <c r="AK13" s="189">
        <f>+IF(AND(CALCULO!AK13&lt;&gt;"", CALCULO!AK13&gt;0), CALCULO!AK13, 0)</f>
        <v>0</v>
      </c>
      <c r="AL13" s="189">
        <f>+IF(AND(CALCULO!AL13&lt;&gt;"", CALCULO!AL13&gt;0), CALCULO!AL13, 0)</f>
        <v>0</v>
      </c>
      <c r="AM13" s="189">
        <f>+IF(AND(CALCULO!AM13&lt;&gt;"", CALCULO!AM13&gt;0), CALCULO!AM13, 0)</f>
        <v>0</v>
      </c>
      <c r="AN13" s="204">
        <f>+IF(AND(CALCULO!AN13&lt;&gt;"", CALCULO!AN13&gt;0), CALCULO!AN13, 0)</f>
        <v>1</v>
      </c>
      <c r="AO13" s="189">
        <f>+IF(AND(CALCULO!AO13&lt;&gt;"", CALCULO!AO13&gt;0), CALCULO!AO13, 0)</f>
        <v>0</v>
      </c>
      <c r="AP13" s="189">
        <f>+IF(AND(CALCULO!AP13&lt;&gt;"", CALCULO!AP13&gt;0), CALCULO!AP13, 0)</f>
        <v>0</v>
      </c>
      <c r="AQ13" s="189">
        <f>+IF(AND(CALCULO!AQ13&lt;&gt;"", CALCULO!AQ13&gt;0), CALCULO!AQ13, 0)</f>
        <v>0</v>
      </c>
      <c r="AR13" s="189">
        <f>+IF(AND(CALCULO!AT13&lt;&gt;"", CALCULO!AT13&gt;0), CALCULO!AT13, 0)</f>
        <v>0</v>
      </c>
      <c r="AS13" s="189">
        <f>+IF(AND(CALCULO!AU13&lt;&gt;"", CALCULO!AU13&gt;0), CALCULO!AU13, 0)</f>
        <v>0</v>
      </c>
      <c r="AT13" s="189">
        <f>+IF(AND(CALCULO!AR13&lt;&gt;"", CALCULO!AR13&gt;0), CALCULO!AR13, 0)</f>
        <v>0</v>
      </c>
      <c r="AU13" s="189">
        <f>+IF(AND(CALCULO!AS13&lt;&gt;"", CALCULO!AS13&gt;0), CALCULO!AS13, 0)</f>
        <v>0</v>
      </c>
      <c r="AV13" s="189">
        <f>+IF(AND(CALCULO!AW13&lt;&gt;"", CALCULO!AW13&gt;0), CALCULO!AW13, 0)</f>
        <v>0</v>
      </c>
      <c r="AW13" s="190">
        <f>+IF(AND(CALCULO!AX13&lt;&gt;"", CALCULO!AX13&gt;0), CALCULO!AX13, 0)</f>
        <v>0</v>
      </c>
      <c r="BE13" s="155" t="str">
        <f>+IF(AND(CALCULO!AV13&lt;&gt;"", CALCULO!AV13&gt;0), CALCULO!AV13, "0")</f>
        <v>0</v>
      </c>
    </row>
    <row r="14" spans="1:59" s="151" customFormat="1" ht="15.75" thickBot="1" x14ac:dyDescent="0.3">
      <c r="A14" s="424"/>
      <c r="B14" s="195" t="s">
        <v>42</v>
      </c>
      <c r="C14" s="193">
        <f t="shared" si="0"/>
        <v>3</v>
      </c>
      <c r="D14" s="193"/>
      <c r="E14" s="193">
        <f>+IF(AND(CALCULO!E14&lt;&gt;"", CALCULO!E14&gt;0), CALCULO!E14, "")</f>
        <v>2</v>
      </c>
      <c r="F14" s="196">
        <f>+IF(AND(CALCULO!F14&lt;&gt;"", CALCULO!F14&gt;0), CALCULO!F14, 0)</f>
        <v>0</v>
      </c>
      <c r="G14" s="196">
        <f>+IF(AND(CALCULO!G14&lt;&gt;"", CALCULO!G14&gt;0), CALCULO!G14, 0)</f>
        <v>0</v>
      </c>
      <c r="H14" s="193">
        <f>+IF(AND(CALCULO!H14&lt;&gt;"", CALCULO!H14&gt;0), CALCULO!H14, 0)</f>
        <v>0</v>
      </c>
      <c r="I14" s="193">
        <f>+IF(AND(CALCULO!I14&lt;&gt;"", CALCULO!I14&gt;0), CALCULO!I14, 0)</f>
        <v>0</v>
      </c>
      <c r="J14" s="193">
        <f>+IF(AND(CALCULO!J14&lt;&gt;"", CALCULO!J14&gt;0), CALCULO!J14, 0)</f>
        <v>0</v>
      </c>
      <c r="K14" s="193">
        <f>+IF(AND(CALCULO!K14&lt;&gt;"",CALCULO!K14&gt;0),CALCULO!K14,0)</f>
        <v>0</v>
      </c>
      <c r="L14" s="193">
        <f>+IF(AND(CALCULO!L14&lt;&gt;"", CALCULO!L14&gt;0), CALCULO!L14, 0)</f>
        <v>0</v>
      </c>
      <c r="M14" s="193">
        <f>+IF(AND(CALCULO!M14&lt;&gt;"", CALCULO!M14&gt;0), CALCULO!M14, 0)</f>
        <v>1</v>
      </c>
      <c r="N14" s="193">
        <f>+IF(AND(CALCULO!N14&lt;&gt;"", CALCULO!N14&gt;0), CALCULO!N14, 0)</f>
        <v>0</v>
      </c>
      <c r="O14" s="193">
        <f>+IF(AND(CALCULO!O14&lt;&gt;"", CALCULO!O14&gt;0), CALCULO!O14, 0)</f>
        <v>0</v>
      </c>
      <c r="P14" s="193">
        <f>+IF(AND(CALCULO!P14&lt;&gt;"", CALCULO!P14&gt;0), CALCULO!P14, 0)</f>
        <v>0</v>
      </c>
      <c r="Q14" s="189">
        <f>+IF(AND(CALCULO!Q14&lt;&gt;"", CALCULO!Q14&gt;0), CALCULO!Q14, 0)</f>
        <v>0</v>
      </c>
      <c r="R14" s="189">
        <f>+IF(AND(CALCULO!R14&lt;&gt;"", CALCULO!R14&gt;0), CALCULO!R14, 0)</f>
        <v>0</v>
      </c>
      <c r="S14" s="189">
        <f>+IF(AND(CALCULO!S14&lt;&gt;"", CALCULO!S14&gt;0), CALCULO!S14, 0)</f>
        <v>0</v>
      </c>
      <c r="T14" s="189">
        <f>+IF(AND(CALCULO!T14&lt;&gt;"", CALCULO!T14&gt;0), CALCULO!T14, 0)</f>
        <v>0</v>
      </c>
      <c r="U14" s="189">
        <f>+IF(AND(CALCULO!U14&lt;&gt;"", CALCULO!U14&gt;0), CALCULO!U14, 0)</f>
        <v>0</v>
      </c>
      <c r="V14" s="189">
        <f>+IF(AND(CALCULO!V14&lt;&gt;"", CALCULO!V14&gt;0), CALCULO!V14, 0)</f>
        <v>0</v>
      </c>
      <c r="W14" s="189">
        <f>+IF(AND(CALCULO!W14&lt;&gt;"", CALCULO!W14&gt;0), CALCULO!W14, 0)</f>
        <v>0</v>
      </c>
      <c r="X14" s="189">
        <f>+IF(AND(CALCULO!X14&lt;&gt;"", CALCULO!X14&gt;0), CALCULO!X14, 0)</f>
        <v>0</v>
      </c>
      <c r="Y14" s="189">
        <f>+IF(AND(CALCULO!Y14&lt;&gt;"", CALCULO!Y14&gt;0), CALCULO!Y14, 0)</f>
        <v>0</v>
      </c>
      <c r="Z14" s="189">
        <f>+IF(AND(CALCULO!Z14&lt;&gt;"", CALCULO!Z14&gt;0), CALCULO!Z14, 0)</f>
        <v>0</v>
      </c>
      <c r="AA14" s="189">
        <f>+IF(AND(CALCULO!AA14&lt;&gt;"", CALCULO!AA14&gt;0), CALCULO!AA14, 0)</f>
        <v>1</v>
      </c>
      <c r="AB14" s="189">
        <f>+IF(AND(CALCULO!AB14&lt;&gt;"", CALCULO!AB14&gt;0), CALCULO!AB14, 0)</f>
        <v>0</v>
      </c>
      <c r="AC14" s="189">
        <f>+IF(AND(CALCULO!AC14&lt;&gt;"", CALCULO!AC14&gt;0), CALCULO!AC14, 0)</f>
        <v>0</v>
      </c>
      <c r="AD14" s="189">
        <f>+IF(AND(CALCULO!AD14&lt;&gt;"", CALCULO!AD14&gt;0), CALCULO!AD14, 0)</f>
        <v>0</v>
      </c>
      <c r="AE14" s="189">
        <f>+IF(AND(CALCULO!AE14&lt;&gt;"", CALCULO!AE14&gt;0), CALCULO!AE14, 0)</f>
        <v>0</v>
      </c>
      <c r="AF14" s="189">
        <f>+IF(AND(CALCULO!AF14&lt;&gt;"", CALCULO!AF14&gt;0), CALCULO!AF14, 0)</f>
        <v>1</v>
      </c>
      <c r="AG14" s="189">
        <f>+IF(AND(CALCULO!AG14&lt;&gt;"", CALCULO!AG14&gt;0), CALCULO!AG14, 0)</f>
        <v>0</v>
      </c>
      <c r="AH14" s="189">
        <f>+IF(AND(CALCULO!AH14&lt;&gt;"", CALCULO!AH14&gt;0), CALCULO!AH14, 0)</f>
        <v>0</v>
      </c>
      <c r="AI14" s="189">
        <f>+IF(AND(CALCULO!AI14&lt;&gt;"", CALCULO!AI14&gt;0), CALCULO!AI14, 0)</f>
        <v>0</v>
      </c>
      <c r="AJ14" s="189">
        <f>+IF(AND(CALCULO!AJ14&lt;&gt;"", CALCULO!AJ14&gt;0), CALCULO!AJ14, 0)</f>
        <v>0</v>
      </c>
      <c r="AK14" s="189">
        <f>+IF(AND(CALCULO!AK14&lt;&gt;"", CALCULO!AK14&gt;0), CALCULO!AK14, 0)</f>
        <v>0</v>
      </c>
      <c r="AL14" s="189">
        <f>+IF(AND(CALCULO!AL14&lt;&gt;"", CALCULO!AL14&gt;0), CALCULO!AL14, 0)</f>
        <v>0</v>
      </c>
      <c r="AM14" s="189">
        <f>+IF(AND(CALCULO!AM14&lt;&gt;"", CALCULO!AM14&gt;0), CALCULO!AM14, 0)</f>
        <v>0</v>
      </c>
      <c r="AN14" s="204">
        <f>+IF(AND(CALCULO!AN14&lt;&gt;"", CALCULO!AN14&gt;0), CALCULO!AN14, 0)</f>
        <v>2</v>
      </c>
      <c r="AO14" s="189">
        <f>+IF(AND(CALCULO!AO14&lt;&gt;"", CALCULO!AO14&gt;0), CALCULO!AO14, 0)</f>
        <v>0</v>
      </c>
      <c r="AP14" s="189">
        <f>+IF(AND(CALCULO!AP14&lt;&gt;"", CALCULO!AP14&gt;0), CALCULO!AP14, 0)</f>
        <v>0</v>
      </c>
      <c r="AQ14" s="189">
        <f>+IF(AND(CALCULO!AQ14&lt;&gt;"", CALCULO!AQ14&gt;0), CALCULO!AQ14, 0)</f>
        <v>0</v>
      </c>
      <c r="AR14" s="189">
        <f>+IF(AND(CALCULO!AT14&lt;&gt;"", CALCULO!AT14&gt;0), CALCULO!AT14, 0)</f>
        <v>0</v>
      </c>
      <c r="AS14" s="189">
        <f>+IF(AND(CALCULO!AU14&lt;&gt;"", CALCULO!AU14&gt;0), CALCULO!AU14, 0)</f>
        <v>0</v>
      </c>
      <c r="AT14" s="189">
        <f>+IF(AND(CALCULO!AR14&lt;&gt;"", CALCULO!AR14&gt;0), CALCULO!AR14, 0)</f>
        <v>0</v>
      </c>
      <c r="AU14" s="189">
        <f>+IF(AND(CALCULO!AS14&lt;&gt;"", CALCULO!AS14&gt;0), CALCULO!AS14, 0)</f>
        <v>0</v>
      </c>
      <c r="AV14" s="189">
        <f>+IF(AND(CALCULO!AW14&lt;&gt;"", CALCULO!AW14&gt;0), CALCULO!AW14, 0)</f>
        <v>0</v>
      </c>
      <c r="AW14" s="190">
        <f>+IF(AND(CALCULO!AX14&lt;&gt;"", CALCULO!AX14&gt;0), CALCULO!AX14, 0)</f>
        <v>0</v>
      </c>
      <c r="BE14" s="184">
        <f>+IF(AND(CALCULO!AV14&lt;&gt;"", CALCULO!AV14&gt;0), CALCULO!AV14, "0")</f>
        <v>1</v>
      </c>
    </row>
    <row r="15" spans="1:59" s="187" customFormat="1" ht="15.75" thickBot="1" x14ac:dyDescent="0.3">
      <c r="A15" s="425" t="s">
        <v>43</v>
      </c>
      <c r="B15" s="518"/>
      <c r="C15" s="186">
        <f t="shared" si="0"/>
        <v>79</v>
      </c>
      <c r="D15" s="186"/>
      <c r="E15" s="186"/>
      <c r="F15" s="186">
        <f>+IF(AND(CALCULO!F15&lt;&gt;"", CALCULO!F15&gt;0), CALCULO!F15, 0)</f>
        <v>0</v>
      </c>
      <c r="G15" s="186">
        <f>+IF(AND(CALCULO!G15&lt;&gt;"", CALCULO!G15&gt;0), CALCULO!G15, 0)</f>
        <v>0</v>
      </c>
      <c r="H15" s="186">
        <f>+IF(AND(CALCULO!H15&lt;&gt;"", CALCULO!H15&gt;0), CALCULO!H15, 0)</f>
        <v>0</v>
      </c>
      <c r="I15" s="186">
        <f>+IF(AND(CALCULO!I15&lt;&gt;"", CALCULO!I15&gt;0), CALCULO!I15, 0)</f>
        <v>0</v>
      </c>
      <c r="J15" s="186">
        <f>+IF(AND(CALCULO!J15&lt;&gt;"", CALCULO!J15&gt;0), CALCULO!J15, 0)</f>
        <v>0</v>
      </c>
      <c r="K15" s="186">
        <f>+IF(AND(CALCULO!K15&lt;&gt;"",CALCULO!K15&gt;0),CALCULO!K15,0)</f>
        <v>0</v>
      </c>
      <c r="L15" s="186">
        <f>+IF(AND(CALCULO!L15&lt;&gt;"", CALCULO!L15&gt;0), CALCULO!L15, 0)</f>
        <v>0</v>
      </c>
      <c r="M15" s="186">
        <f>+IF(AND(CALCULO!M15&lt;&gt;"", CALCULO!M15&gt;0), CALCULO!M15, 0)</f>
        <v>11</v>
      </c>
      <c r="N15" s="186">
        <f>+IF(AND(CALCULO!N15&lt;&gt;"", CALCULO!N15&gt;0), CALCULO!N15, 0)</f>
        <v>1</v>
      </c>
      <c r="O15" s="186">
        <f>+IF(AND(CALCULO!O15&lt;&gt;"", CALCULO!O15&gt;0), CALCULO!O15, 0)</f>
        <v>0</v>
      </c>
      <c r="P15" s="186">
        <f>+IF(AND(CALCULO!P15&lt;&gt;"", CALCULO!P15&gt;0), CALCULO!P15, 0)</f>
        <v>0</v>
      </c>
      <c r="Q15" s="189">
        <f>+IF(AND(CALCULO!Q15&lt;&gt;"", CALCULO!Q15&gt;0), CALCULO!Q15, 0)</f>
        <v>6</v>
      </c>
      <c r="R15" s="189">
        <f>+IF(AND(CALCULO!R15&lt;&gt;"", CALCULO!R15&gt;0), CALCULO!R15, 0)</f>
        <v>0</v>
      </c>
      <c r="S15" s="189">
        <f>+IF(AND(CALCULO!S15&lt;&gt;"", CALCULO!S15&gt;0), CALCULO!S15, 0)</f>
        <v>0</v>
      </c>
      <c r="T15" s="189">
        <f>+IF(AND(CALCULO!T15&lt;&gt;"", CALCULO!T15&gt;0), CALCULO!T15, 0)</f>
        <v>0</v>
      </c>
      <c r="U15" s="189">
        <f>+IF(AND(CALCULO!U15&lt;&gt;"", CALCULO!U15&gt;0), CALCULO!U15, 0)</f>
        <v>11</v>
      </c>
      <c r="V15" s="189">
        <f>+IF(AND(CALCULO!V15&lt;&gt;"", CALCULO!V15&gt;0), CALCULO!V15, 0)</f>
        <v>0</v>
      </c>
      <c r="W15" s="189">
        <f>+IF(AND(CALCULO!W15&lt;&gt;"", CALCULO!W15&gt;0), CALCULO!W15, 0)</f>
        <v>0</v>
      </c>
      <c r="X15" s="189">
        <f>+IF(AND(CALCULO!X15&lt;&gt;"", CALCULO!X15&gt;0), CALCULO!X15, 0)</f>
        <v>0</v>
      </c>
      <c r="Y15" s="189">
        <f>+IF(AND(CALCULO!Y15&lt;&gt;"", CALCULO!Y15&gt;0), CALCULO!Y15, 0)</f>
        <v>10</v>
      </c>
      <c r="Z15" s="189">
        <f>+IF(AND(CALCULO!Z15&lt;&gt;"", CALCULO!Z15&gt;0), CALCULO!Z15, 0)</f>
        <v>0</v>
      </c>
      <c r="AA15" s="189">
        <f>+IF(AND(CALCULO!AA15&lt;&gt;"", CALCULO!AA15&gt;0), CALCULO!AA15, 0)</f>
        <v>2</v>
      </c>
      <c r="AB15" s="189">
        <f>+IF(AND(CALCULO!AB15&lt;&gt;"", CALCULO!AB15&gt;0), CALCULO!AB15, 0)</f>
        <v>3</v>
      </c>
      <c r="AC15" s="189">
        <f>+IF(AND(CALCULO!AC15&lt;&gt;"", CALCULO!AC15&gt;0), CALCULO!AC15, 0)</f>
        <v>0</v>
      </c>
      <c r="AD15" s="189">
        <f>+IF(AND(CALCULO!AD15&lt;&gt;"", CALCULO!AD15&gt;0), CALCULO!AD15, 0)</f>
        <v>0</v>
      </c>
      <c r="AE15" s="189">
        <f>+IF(AND(CALCULO!AE15&lt;&gt;"", CALCULO!AE15&gt;0), CALCULO!AE15, 0)</f>
        <v>11</v>
      </c>
      <c r="AF15" s="189">
        <f>+IF(AND(CALCULO!AF15&lt;&gt;"", CALCULO!AF15&gt;0), CALCULO!AF15, 0)</f>
        <v>0</v>
      </c>
      <c r="AG15" s="189">
        <f>+IF(AND(CALCULO!AG15&lt;&gt;"", CALCULO!AG15&gt;0), CALCULO!AG15, 0)</f>
        <v>5</v>
      </c>
      <c r="AH15" s="189">
        <f>+IF(AND(CALCULO!AH15&lt;&gt;"", CALCULO!AH15&gt;0), CALCULO!AH15, 0)</f>
        <v>7</v>
      </c>
      <c r="AI15" s="189">
        <f>+IF(AND(CALCULO!AI15&lt;&gt;"", CALCULO!AI15&gt;0), CALCULO!AI15, 0)</f>
        <v>0</v>
      </c>
      <c r="AJ15" s="189">
        <f>+IF(AND(CALCULO!AJ15&lt;&gt;"", CALCULO!AJ15&gt;0), CALCULO!AJ15, 0)</f>
        <v>1</v>
      </c>
      <c r="AK15" s="189">
        <f>+IF(AND(CALCULO!AK15&lt;&gt;"", CALCULO!AK15&gt;0), CALCULO!AK15, 0)</f>
        <v>6</v>
      </c>
      <c r="AL15" s="189">
        <f>+IF(AND(CALCULO!AL15&lt;&gt;"", CALCULO!AL15&gt;0), CALCULO!AL15, 0)</f>
        <v>5</v>
      </c>
      <c r="AM15" s="189">
        <f>+IF(AND(CALCULO!AM15&lt;&gt;"", CALCULO!AM15&gt;0), CALCULO!AM15, 0)</f>
        <v>0</v>
      </c>
      <c r="AN15" s="204">
        <f>+IF(AND(CALCULO!AN15&lt;&gt;"", CALCULO!AN15&gt;0), CALCULO!AN15, 0)</f>
        <v>0</v>
      </c>
      <c r="AO15" s="189">
        <f>+IF(AND(CALCULO!AO15&lt;&gt;"", CALCULO!AO15&gt;0), CALCULO!AO15, 0)</f>
        <v>37</v>
      </c>
      <c r="AP15" s="189">
        <f>+IF(AND(CALCULO!AP15&lt;&gt;"", CALCULO!AP15&gt;0), CALCULO!AP15, 0)</f>
        <v>0</v>
      </c>
      <c r="AQ15" s="189">
        <f>+IF(AND(CALCULO!AQ15&lt;&gt;"", CALCULO!AQ15&gt;0), CALCULO!AQ15, 0)</f>
        <v>6</v>
      </c>
      <c r="AR15" s="189">
        <f>+IF(AND(CALCULO!AT15&lt;&gt;"", CALCULO!AT15&gt;0), CALCULO!AT15, 0)</f>
        <v>0</v>
      </c>
      <c r="AS15" s="189">
        <f>+IF(AND(CALCULO!AU15&lt;&gt;"", CALCULO!AU15&gt;0), CALCULO!AU15, 0)</f>
        <v>0</v>
      </c>
      <c r="AT15" s="189">
        <f>+IF(AND(CALCULO!AR15&lt;&gt;"", CALCULO!AR15&gt;0), CALCULO!AR15, 0)</f>
        <v>0</v>
      </c>
      <c r="AU15" s="189">
        <f>+IF(AND(CALCULO!AS15&lt;&gt;"", CALCULO!AS15&gt;0), CALCULO!AS15, 0)</f>
        <v>0</v>
      </c>
      <c r="AV15" s="189">
        <f>+IF(AND(CALCULO!AW15&lt;&gt;"", CALCULO!AW15&gt;0), CALCULO!AW15, 0)</f>
        <v>1</v>
      </c>
      <c r="AW15" s="190">
        <f>+IF(AND(CALCULO!AX15&lt;&gt;"", CALCULO!AX15&gt;0), CALCULO!AX15, 0)</f>
        <v>0</v>
      </c>
      <c r="BE15" s="186">
        <f>+IF(AND(CALCULO!AV15&lt;&gt;"", CALCULO!AV15&gt;0), CALCULO!AV15, "0")</f>
        <v>2</v>
      </c>
    </row>
    <row r="16" spans="1:59" s="151" customFormat="1" ht="21.75" thickBot="1" x14ac:dyDescent="0.3">
      <c r="A16" s="439" t="s">
        <v>44</v>
      </c>
      <c r="B16" s="188" t="s">
        <v>45</v>
      </c>
      <c r="C16" s="189">
        <f t="shared" si="0"/>
        <v>7</v>
      </c>
      <c r="D16" s="189"/>
      <c r="E16" s="189">
        <f>+IF(AND(CALCULO!E16&lt;&gt;"", CALCULO!E16&gt;0), CALCULO!E16, "")</f>
        <v>3</v>
      </c>
      <c r="F16" s="189">
        <f>+IF(AND(CALCULO!F16&lt;&gt;"", CALCULO!F16&gt;0), CALCULO!F16, 0)</f>
        <v>0</v>
      </c>
      <c r="G16" s="189">
        <f>+IF(AND(CALCULO!G16&lt;&gt;"", CALCULO!G16&gt;0), CALCULO!G16, 0)</f>
        <v>0</v>
      </c>
      <c r="H16" s="189">
        <f>+IF(AND(CALCULO!H16&lt;&gt;"", CALCULO!H16&gt;0), CALCULO!H16, 0)</f>
        <v>0</v>
      </c>
      <c r="I16" s="189">
        <f>+IF(AND(CALCULO!I16&lt;&gt;"", CALCULO!I16&gt;0), CALCULO!I16, 0)</f>
        <v>0</v>
      </c>
      <c r="J16" s="189">
        <f>+IF(AND(CALCULO!J16&lt;&gt;"", CALCULO!J16&gt;0), CALCULO!J16, 0)</f>
        <v>0</v>
      </c>
      <c r="K16" s="189">
        <f>+IF(AND(CALCULO!K16&lt;&gt;"",CALCULO!K16&gt;0),CALCULO!K16,0)</f>
        <v>0</v>
      </c>
      <c r="L16" s="189">
        <f>+IF(AND(CALCULO!L16&lt;&gt;"", CALCULO!L16&gt;0), CALCULO!L16, 0)</f>
        <v>0</v>
      </c>
      <c r="M16" s="189">
        <f>+IF(AND(CALCULO!M16&lt;&gt;"", CALCULO!M16&gt;0), CALCULO!M16, 0)</f>
        <v>1</v>
      </c>
      <c r="N16" s="189">
        <f>+IF(AND(CALCULO!N16&lt;&gt;"", CALCULO!N16&gt;0), CALCULO!N16, 0)</f>
        <v>0</v>
      </c>
      <c r="O16" s="189">
        <f>+IF(AND(CALCULO!O16&lt;&gt;"", CALCULO!O16&gt;0), CALCULO!O16, 0)</f>
        <v>0</v>
      </c>
      <c r="P16" s="189">
        <f>+IF(AND(CALCULO!P16&lt;&gt;"", CALCULO!P16&gt;0), CALCULO!P16, 0)</f>
        <v>1</v>
      </c>
      <c r="Q16" s="189">
        <f>+IF(AND(CALCULO!Q16&lt;&gt;"", CALCULO!Q16&gt;0), CALCULO!Q16, 0)</f>
        <v>0</v>
      </c>
      <c r="R16" s="189">
        <f>+IF(AND(CALCULO!R16&lt;&gt;"", CALCULO!R16&gt;0), CALCULO!R16, 0)</f>
        <v>0</v>
      </c>
      <c r="S16" s="189">
        <f>+IF(AND(CALCULO!S16&lt;&gt;"", CALCULO!S16&gt;0), CALCULO!S16, 0)</f>
        <v>0</v>
      </c>
      <c r="T16" s="189">
        <f>+IF(AND(CALCULO!T16&lt;&gt;"", CALCULO!T16&gt;0), CALCULO!T16, 0)</f>
        <v>0</v>
      </c>
      <c r="U16" s="189">
        <f>+IF(AND(CALCULO!U16&lt;&gt;"", CALCULO!U16&gt;0), CALCULO!U16, 0)</f>
        <v>1</v>
      </c>
      <c r="V16" s="189">
        <f>+IF(AND(CALCULO!V16&lt;&gt;"", CALCULO!V16&gt;0), CALCULO!V16, 0)</f>
        <v>0</v>
      </c>
      <c r="W16" s="189">
        <f>+IF(AND(CALCULO!W16&lt;&gt;"", CALCULO!W16&gt;0), CALCULO!W16, 0)</f>
        <v>0</v>
      </c>
      <c r="X16" s="189">
        <f>+IF(AND(CALCULO!X16&lt;&gt;"", CALCULO!X16&gt;0), CALCULO!X16, 0)</f>
        <v>0</v>
      </c>
      <c r="Y16" s="189">
        <f>+IF(AND(CALCULO!Y16&lt;&gt;"", CALCULO!Y16&gt;0), CALCULO!Y16, 0)</f>
        <v>1</v>
      </c>
      <c r="Z16" s="189">
        <f>+IF(AND(CALCULO!Z16&lt;&gt;"", CALCULO!Z16&gt;0), CALCULO!Z16, 0)</f>
        <v>0</v>
      </c>
      <c r="AA16" s="189">
        <f>+IF(AND(CALCULO!AA16&lt;&gt;"", CALCULO!AA16&gt;0), CALCULO!AA16, 0)</f>
        <v>0</v>
      </c>
      <c r="AB16" s="189">
        <f>+IF(AND(CALCULO!AB16&lt;&gt;"", CALCULO!AB16&gt;0), CALCULO!AB16, 0)</f>
        <v>0</v>
      </c>
      <c r="AC16" s="189">
        <f>+IF(AND(CALCULO!AC16&lt;&gt;"", CALCULO!AC16&gt;0), CALCULO!AC16, 0)</f>
        <v>0</v>
      </c>
      <c r="AD16" s="189">
        <f>+IF(AND(CALCULO!AD16&lt;&gt;"", CALCULO!AD16&gt;0), CALCULO!AD16, 0)</f>
        <v>0</v>
      </c>
      <c r="AE16" s="189">
        <f>+IF(AND(CALCULO!AE16&lt;&gt;"", CALCULO!AE16&gt;0), CALCULO!AE16, 0)</f>
        <v>1</v>
      </c>
      <c r="AF16" s="189">
        <f>+IF(AND(CALCULO!AF16&lt;&gt;"", CALCULO!AF16&gt;0), CALCULO!AF16, 0)</f>
        <v>0</v>
      </c>
      <c r="AG16" s="189">
        <f>+IF(AND(CALCULO!AG16&lt;&gt;"", CALCULO!AG16&gt;0), CALCULO!AG16, 0)</f>
        <v>1</v>
      </c>
      <c r="AH16" s="189">
        <f>+IF(AND(CALCULO!AH16&lt;&gt;"", CALCULO!AH16&gt;0), CALCULO!AH16, 0)</f>
        <v>0</v>
      </c>
      <c r="AI16" s="189">
        <f>+IF(AND(CALCULO!AI16&lt;&gt;"", CALCULO!AI16&gt;0), CALCULO!AI16, 0)</f>
        <v>1</v>
      </c>
      <c r="AJ16" s="189">
        <f>+IF(AND(CALCULO!AJ16&lt;&gt;"", CALCULO!AJ16&gt;0), CALCULO!AJ16, 0)</f>
        <v>0</v>
      </c>
      <c r="AK16" s="189">
        <f>+IF(AND(CALCULO!AK16&lt;&gt;"", CALCULO!AK16&gt;0), CALCULO!AK16, 0)</f>
        <v>0</v>
      </c>
      <c r="AL16" s="189">
        <f>+IF(AND(CALCULO!AL16&lt;&gt;"", CALCULO!AL16&gt;0), CALCULO!AL16, 0)</f>
        <v>0</v>
      </c>
      <c r="AM16" s="189">
        <f>+IF(AND(CALCULO!AM16&lt;&gt;"", CALCULO!AM16&gt;0), CALCULO!AM16, 0)</f>
        <v>0</v>
      </c>
      <c r="AN16" s="204">
        <f>+IF(AND(CALCULO!AN16&lt;&gt;"", CALCULO!AN16&gt;0), CALCULO!AN16, 0)</f>
        <v>0</v>
      </c>
      <c r="AO16" s="189">
        <f>+IF(AND(CALCULO!AO16&lt;&gt;"", CALCULO!AO16&gt;0), CALCULO!AO16, 0)</f>
        <v>2</v>
      </c>
      <c r="AP16" s="189">
        <f>+IF(AND(CALCULO!AP16&lt;&gt;"", CALCULO!AP16&gt;0), CALCULO!AP16, 0)</f>
        <v>0</v>
      </c>
      <c r="AQ16" s="189">
        <f>+IF(AND(CALCULO!AQ16&lt;&gt;"", CALCULO!AQ16&gt;0), CALCULO!AQ16, 0)</f>
        <v>0</v>
      </c>
      <c r="AR16" s="189">
        <f>+IF(AND(CALCULO!AT16&lt;&gt;"", CALCULO!AT16&gt;0), CALCULO!AT16, 0)</f>
        <v>0</v>
      </c>
      <c r="AS16" s="189">
        <f>+IF(AND(CALCULO!AU16&lt;&gt;"", CALCULO!AU16&gt;0), CALCULO!AU16, 0)</f>
        <v>0</v>
      </c>
      <c r="AT16" s="189">
        <f>+IF(AND(CALCULO!AR16&lt;&gt;"", CALCULO!AR16&gt;0), CALCULO!AR16, 0)</f>
        <v>0</v>
      </c>
      <c r="AU16" s="189">
        <f>+IF(AND(CALCULO!AS16&lt;&gt;"", CALCULO!AS16&gt;0), CALCULO!AS16, 0)</f>
        <v>0</v>
      </c>
      <c r="AV16" s="189">
        <f>+IF(AND(CALCULO!AW16&lt;&gt;"", CALCULO!AW16&gt;0), CALCULO!AW16, 0)</f>
        <v>0</v>
      </c>
      <c r="AW16" s="190">
        <f>+IF(AND(CALCULO!AX16&lt;&gt;"", CALCULO!AX16&gt;0), CALCULO!AX16, 0)</f>
        <v>0</v>
      </c>
      <c r="BE16" s="185" t="str">
        <f>+IF(AND(CALCULO!AV16&lt;&gt;"", CALCULO!AV16&gt;0), CALCULO!AV16, "0")</f>
        <v>0</v>
      </c>
    </row>
    <row r="17" spans="1:57" s="151" customFormat="1" ht="21.75" thickBot="1" x14ac:dyDescent="0.3">
      <c r="A17" s="440"/>
      <c r="B17" s="153" t="s">
        <v>46</v>
      </c>
      <c r="C17" s="155">
        <f t="shared" si="0"/>
        <v>23</v>
      </c>
      <c r="D17" s="155"/>
      <c r="E17" s="155">
        <f>+IF(AND(CALCULO!E17&lt;&gt;"", CALCULO!E17&gt;0), CALCULO!E17, "")</f>
        <v>17</v>
      </c>
      <c r="F17" s="155">
        <f>+IF(AND(CALCULO!F17&lt;&gt;"", CALCULO!F17&gt;0), CALCULO!F17, 0)</f>
        <v>0</v>
      </c>
      <c r="G17" s="155">
        <f>+IF(AND(CALCULO!G17&lt;&gt;"", CALCULO!G17&gt;0), CALCULO!G17, 0)</f>
        <v>0</v>
      </c>
      <c r="H17" s="155">
        <f>+IF(AND(CALCULO!H17&lt;&gt;"", CALCULO!H17&gt;0), CALCULO!H17, 0)</f>
        <v>0</v>
      </c>
      <c r="I17" s="155">
        <f>+IF(AND(CALCULO!I17&lt;&gt;"", CALCULO!I17&gt;0), CALCULO!I17, 0)</f>
        <v>0</v>
      </c>
      <c r="J17" s="155">
        <f>+IF(AND(CALCULO!J17&lt;&gt;"", CALCULO!J17&gt;0), CALCULO!J17, 0)</f>
        <v>0</v>
      </c>
      <c r="K17" s="155">
        <f>+IF(AND(CALCULO!K17&lt;&gt;"",CALCULO!K17&gt;0),CALCULO!K17,0)</f>
        <v>0</v>
      </c>
      <c r="L17" s="155">
        <f>+IF(AND(CALCULO!L17&lt;&gt;"", CALCULO!L17&gt;0), CALCULO!L17, 0)</f>
        <v>1</v>
      </c>
      <c r="M17" s="155">
        <f>+IF(AND(CALCULO!M17&lt;&gt;"", CALCULO!M17&gt;0), CALCULO!M17, 0)</f>
        <v>1</v>
      </c>
      <c r="N17" s="155">
        <f>+IF(AND(CALCULO!N17&lt;&gt;"", CALCULO!N17&gt;0), CALCULO!N17, 0)</f>
        <v>0</v>
      </c>
      <c r="O17" s="155">
        <f>+IF(AND(CALCULO!O17&lt;&gt;"", CALCULO!O17&gt;0), CALCULO!O17, 0)</f>
        <v>2</v>
      </c>
      <c r="P17" s="155">
        <f>+IF(AND(CALCULO!P17&lt;&gt;"", CALCULO!P17&gt;0), CALCULO!P17, 0)</f>
        <v>0</v>
      </c>
      <c r="Q17" s="189">
        <f>+IF(AND(CALCULO!Q17&lt;&gt;"", CALCULO!Q17&gt;0), CALCULO!Q17, 0)</f>
        <v>2</v>
      </c>
      <c r="R17" s="189">
        <f>+IF(AND(CALCULO!R17&lt;&gt;"", CALCULO!R17&gt;0), CALCULO!R17, 0)</f>
        <v>1</v>
      </c>
      <c r="S17" s="189">
        <f>+IF(AND(CALCULO!S17&lt;&gt;"", CALCULO!S17&gt;0), CALCULO!S17, 0)</f>
        <v>1</v>
      </c>
      <c r="T17" s="189">
        <f>+IF(AND(CALCULO!T17&lt;&gt;"", CALCULO!T17&gt;0), CALCULO!T17, 0)</f>
        <v>0</v>
      </c>
      <c r="U17" s="189">
        <f>+IF(AND(CALCULO!U17&lt;&gt;"", CALCULO!U17&gt;0), CALCULO!U17, 0)</f>
        <v>2</v>
      </c>
      <c r="V17" s="189">
        <f>+IF(AND(CALCULO!V17&lt;&gt;"", CALCULO!V17&gt;0), CALCULO!V17, 0)</f>
        <v>0</v>
      </c>
      <c r="W17" s="189">
        <f>+IF(AND(CALCULO!W17&lt;&gt;"", CALCULO!W17&gt;0), CALCULO!W17, 0)</f>
        <v>0</v>
      </c>
      <c r="X17" s="189">
        <f>+IF(AND(CALCULO!X17&lt;&gt;"", CALCULO!X17&gt;0), CALCULO!X17, 0)</f>
        <v>1</v>
      </c>
      <c r="Y17" s="189">
        <f>+IF(AND(CALCULO!Y17&lt;&gt;"", CALCULO!Y17&gt;0), CALCULO!Y17, 0)</f>
        <v>2</v>
      </c>
      <c r="Z17" s="189">
        <f>+IF(AND(CALCULO!Z17&lt;&gt;"", CALCULO!Z17&gt;0), CALCULO!Z17, 0)</f>
        <v>0</v>
      </c>
      <c r="AA17" s="189">
        <f>+IF(AND(CALCULO!AA17&lt;&gt;"", CALCULO!AA17&gt;0), CALCULO!AA17, 0)</f>
        <v>2</v>
      </c>
      <c r="AB17" s="189">
        <f>+IF(AND(CALCULO!AB17&lt;&gt;"", CALCULO!AB17&gt;0), CALCULO!AB17, 0)</f>
        <v>0</v>
      </c>
      <c r="AC17" s="189">
        <f>+IF(AND(CALCULO!AC17&lt;&gt;"", CALCULO!AC17&gt;0), CALCULO!AC17, 0)</f>
        <v>2</v>
      </c>
      <c r="AD17" s="189">
        <f>+IF(AND(CALCULO!AD17&lt;&gt;"", CALCULO!AD17&gt;0), CALCULO!AD17, 0)</f>
        <v>1</v>
      </c>
      <c r="AE17" s="189">
        <f>+IF(AND(CALCULO!AE17&lt;&gt;"", CALCULO!AE17&gt;0), CALCULO!AE17, 0)</f>
        <v>3</v>
      </c>
      <c r="AF17" s="189">
        <f>+IF(AND(CALCULO!AF17&lt;&gt;"", CALCULO!AF17&gt;0), CALCULO!AF17, 0)</f>
        <v>0</v>
      </c>
      <c r="AG17" s="189">
        <f>+IF(AND(CALCULO!AG17&lt;&gt;"", CALCULO!AG17&gt;0), CALCULO!AG17, 0)</f>
        <v>1</v>
      </c>
      <c r="AH17" s="189">
        <f>+IF(AND(CALCULO!AH17&lt;&gt;"", CALCULO!AH17&gt;0), CALCULO!AH17, 0)</f>
        <v>0</v>
      </c>
      <c r="AI17" s="189">
        <f>+IF(AND(CALCULO!AI17&lt;&gt;"", CALCULO!AI17&gt;0), CALCULO!AI17, 0)</f>
        <v>0</v>
      </c>
      <c r="AJ17" s="189">
        <f>+IF(AND(CALCULO!AJ17&lt;&gt;"", CALCULO!AJ17&gt;0), CALCULO!AJ17, 0)</f>
        <v>0</v>
      </c>
      <c r="AK17" s="189">
        <f>+IF(AND(CALCULO!AK17&lt;&gt;"", CALCULO!AK17&gt;0), CALCULO!AK17, 0)</f>
        <v>0</v>
      </c>
      <c r="AL17" s="189">
        <f>+IF(AND(CALCULO!AL17&lt;&gt;"", CALCULO!AL17&gt;0), CALCULO!AL17, 0)</f>
        <v>1</v>
      </c>
      <c r="AM17" s="189">
        <f>+IF(AND(CALCULO!AM17&lt;&gt;"", CALCULO!AM17&gt;0), CALCULO!AM17, 0)</f>
        <v>0</v>
      </c>
      <c r="AN17" s="204">
        <f>+IF(AND(CALCULO!AN17&lt;&gt;"", CALCULO!AN17&gt;0), CALCULO!AN17, 0)</f>
        <v>0</v>
      </c>
      <c r="AO17" s="189">
        <f>+IF(AND(CALCULO!AO17&lt;&gt;"", CALCULO!AO17&gt;0), CALCULO!AO17, 0)</f>
        <v>18</v>
      </c>
      <c r="AP17" s="189">
        <f>+IF(AND(CALCULO!AP17&lt;&gt;"", CALCULO!AP17&gt;0), CALCULO!AP17, 0)</f>
        <v>0</v>
      </c>
      <c r="AQ17" s="189">
        <f>+IF(AND(CALCULO!AQ17&lt;&gt;"", CALCULO!AQ17&gt;0), CALCULO!AQ17, 0)</f>
        <v>1</v>
      </c>
      <c r="AR17" s="189">
        <f>+IF(AND(CALCULO!AT17&lt;&gt;"", CALCULO!AT17&gt;0), CALCULO!AT17, 0)</f>
        <v>0</v>
      </c>
      <c r="AS17" s="189">
        <f>+IF(AND(CALCULO!AU17&lt;&gt;"", CALCULO!AU17&gt;0), CALCULO!AU17, 0)</f>
        <v>0</v>
      </c>
      <c r="AT17" s="189">
        <f>+IF(AND(CALCULO!AR17&lt;&gt;"", CALCULO!AR17&gt;0), CALCULO!AR17, 0)</f>
        <v>0</v>
      </c>
      <c r="AU17" s="189">
        <f>+IF(AND(CALCULO!AS17&lt;&gt;"", CALCULO!AS17&gt;0), CALCULO!AS17, 0)</f>
        <v>0</v>
      </c>
      <c r="AV17" s="189">
        <f>+IF(AND(CALCULO!AW17&lt;&gt;"", CALCULO!AW17&gt;0), CALCULO!AW17, 0)</f>
        <v>0</v>
      </c>
      <c r="AW17" s="190">
        <f>+IF(AND(CALCULO!AX17&lt;&gt;"", CALCULO!AX17&gt;0), CALCULO!AX17, 0)</f>
        <v>0</v>
      </c>
      <c r="BE17" s="155" t="str">
        <f>+IF(AND(CALCULO!AV17&lt;&gt;"", CALCULO!AV17&gt;0), CALCULO!AV17, "0")</f>
        <v>0</v>
      </c>
    </row>
    <row r="18" spans="1:57" s="151" customFormat="1" ht="21.75" thickBot="1" x14ac:dyDescent="0.3">
      <c r="A18" s="440"/>
      <c r="B18" s="153" t="s">
        <v>47</v>
      </c>
      <c r="C18" s="155">
        <f t="shared" si="0"/>
        <v>8</v>
      </c>
      <c r="D18" s="155"/>
      <c r="E18" s="155">
        <f>+IF(AND(CALCULO!E18&lt;&gt;"", CALCULO!E18&gt;0), CALCULO!E18, "")</f>
        <v>5</v>
      </c>
      <c r="F18" s="155">
        <f>+IF(AND(CALCULO!F18&lt;&gt;"", CALCULO!F18&gt;0), CALCULO!F18, 0)</f>
        <v>0</v>
      </c>
      <c r="G18" s="155">
        <f>+IF(AND(CALCULO!G18&lt;&gt;"", CALCULO!G18&gt;0), CALCULO!G18, 0)</f>
        <v>0</v>
      </c>
      <c r="H18" s="155">
        <f>+IF(AND(CALCULO!H18&lt;&gt;"", CALCULO!H18&gt;0), CALCULO!H18, 0)</f>
        <v>0</v>
      </c>
      <c r="I18" s="155">
        <f>+IF(AND(CALCULO!I18&lt;&gt;"", CALCULO!I18&gt;0), CALCULO!I18, 0)</f>
        <v>0</v>
      </c>
      <c r="J18" s="155">
        <f>+IF(AND(CALCULO!J18&lt;&gt;"", CALCULO!J18&gt;0), CALCULO!J18, 0)</f>
        <v>0</v>
      </c>
      <c r="K18" s="155">
        <f>+IF(AND(CALCULO!K18&lt;&gt;"",CALCULO!K18&gt;0),CALCULO!K18,0)</f>
        <v>0</v>
      </c>
      <c r="L18" s="155">
        <f>+IF(AND(CALCULO!L18&lt;&gt;"", CALCULO!L18&gt;0), CALCULO!L18, 0)</f>
        <v>0</v>
      </c>
      <c r="M18" s="155">
        <f>+IF(AND(CALCULO!M18&lt;&gt;"", CALCULO!M18&gt;0), CALCULO!M18, 0)</f>
        <v>2</v>
      </c>
      <c r="N18" s="155">
        <f>+IF(AND(CALCULO!N18&lt;&gt;"", CALCULO!N18&gt;0), CALCULO!N18, 0)</f>
        <v>0</v>
      </c>
      <c r="O18" s="155">
        <f>+IF(AND(CALCULO!O18&lt;&gt;"", CALCULO!O18&gt;0), CALCULO!O18, 0)</f>
        <v>0</v>
      </c>
      <c r="P18" s="155">
        <f>+IF(AND(CALCULO!P18&lt;&gt;"", CALCULO!P18&gt;0), CALCULO!P18, 0)</f>
        <v>0</v>
      </c>
      <c r="Q18" s="189">
        <f>+IF(AND(CALCULO!Q18&lt;&gt;"", CALCULO!Q18&gt;0), CALCULO!Q18, 0)</f>
        <v>1</v>
      </c>
      <c r="R18" s="189">
        <f>+IF(AND(CALCULO!R18&lt;&gt;"", CALCULO!R18&gt;0), CALCULO!R18, 0)</f>
        <v>0</v>
      </c>
      <c r="S18" s="189">
        <f>+IF(AND(CALCULO!S18&lt;&gt;"", CALCULO!S18&gt;0), CALCULO!S18, 0)</f>
        <v>0</v>
      </c>
      <c r="T18" s="189">
        <f>+IF(AND(CALCULO!T18&lt;&gt;"", CALCULO!T18&gt;0), CALCULO!T18, 0)</f>
        <v>0</v>
      </c>
      <c r="U18" s="189">
        <f>+IF(AND(CALCULO!U18&lt;&gt;"", CALCULO!U18&gt;0), CALCULO!U18, 0)</f>
        <v>1</v>
      </c>
      <c r="V18" s="189">
        <f>+IF(AND(CALCULO!V18&lt;&gt;"", CALCULO!V18&gt;0), CALCULO!V18, 0)</f>
        <v>0</v>
      </c>
      <c r="W18" s="189">
        <f>+IF(AND(CALCULO!W18&lt;&gt;"", CALCULO!W18&gt;0), CALCULO!W18, 0)</f>
        <v>0</v>
      </c>
      <c r="X18" s="189">
        <f>+IF(AND(CALCULO!X18&lt;&gt;"", CALCULO!X18&gt;0), CALCULO!X18, 0)</f>
        <v>0</v>
      </c>
      <c r="Y18" s="189">
        <f>+IF(AND(CALCULO!Y18&lt;&gt;"", CALCULO!Y18&gt;0), CALCULO!Y18, 0)</f>
        <v>1</v>
      </c>
      <c r="Z18" s="189">
        <f>+IF(AND(CALCULO!Z18&lt;&gt;"", CALCULO!Z18&gt;0), CALCULO!Z18, 0)</f>
        <v>0</v>
      </c>
      <c r="AA18" s="189">
        <f>+IF(AND(CALCULO!AA18&lt;&gt;"", CALCULO!AA18&gt;0), CALCULO!AA18, 0)</f>
        <v>0</v>
      </c>
      <c r="AB18" s="189">
        <f>+IF(AND(CALCULO!AB18&lt;&gt;"", CALCULO!AB18&gt;0), CALCULO!AB18, 0)</f>
        <v>1</v>
      </c>
      <c r="AC18" s="189">
        <f>+IF(AND(CALCULO!AC18&lt;&gt;"", CALCULO!AC18&gt;0), CALCULO!AC18, 0)</f>
        <v>0</v>
      </c>
      <c r="AD18" s="189">
        <f>+IF(AND(CALCULO!AD18&lt;&gt;"", CALCULO!AD18&gt;0), CALCULO!AD18, 0)</f>
        <v>0</v>
      </c>
      <c r="AE18" s="189">
        <f>+IF(AND(CALCULO!AE18&lt;&gt;"", CALCULO!AE18&gt;0), CALCULO!AE18, 0)</f>
        <v>1</v>
      </c>
      <c r="AF18" s="189">
        <f>+IF(AND(CALCULO!AF18&lt;&gt;"", CALCULO!AF18&gt;0), CALCULO!AF18, 0)</f>
        <v>1</v>
      </c>
      <c r="AG18" s="189">
        <f>+IF(AND(CALCULO!AG18&lt;&gt;"", CALCULO!AG18&gt;0), CALCULO!AG18, 0)</f>
        <v>0</v>
      </c>
      <c r="AH18" s="189">
        <f>+IF(AND(CALCULO!AH18&lt;&gt;"", CALCULO!AH18&gt;0), CALCULO!AH18, 0)</f>
        <v>0</v>
      </c>
      <c r="AI18" s="189">
        <f>+IF(AND(CALCULO!AI18&lt;&gt;"", CALCULO!AI18&gt;0), CALCULO!AI18, 0)</f>
        <v>0</v>
      </c>
      <c r="AJ18" s="189">
        <f>+IF(AND(CALCULO!AJ18&lt;&gt;"", CALCULO!AJ18&gt;0), CALCULO!AJ18, 0)</f>
        <v>0</v>
      </c>
      <c r="AK18" s="189">
        <f>+IF(AND(CALCULO!AK18&lt;&gt;"", CALCULO!AK18&gt;0), CALCULO!AK18, 0)</f>
        <v>0</v>
      </c>
      <c r="AL18" s="189">
        <f>+IF(AND(CALCULO!AL18&lt;&gt;"", CALCULO!AL18&gt;0), CALCULO!AL18, 0)</f>
        <v>0</v>
      </c>
      <c r="AM18" s="189">
        <f>+IF(AND(CALCULO!AM18&lt;&gt;"", CALCULO!AM18&gt;0), CALCULO!AM18, 0)</f>
        <v>0</v>
      </c>
      <c r="AN18" s="204">
        <f>+IF(AND(CALCULO!AN18&lt;&gt;"", CALCULO!AN18&gt;0), CALCULO!AN18, 0)</f>
        <v>0</v>
      </c>
      <c r="AO18" s="189">
        <f>+IF(AND(CALCULO!AO18&lt;&gt;"", CALCULO!AO18&gt;0), CALCULO!AO18, 0)</f>
        <v>0</v>
      </c>
      <c r="AP18" s="189">
        <f>+IF(AND(CALCULO!AP18&lt;&gt;"", CALCULO!AP18&gt;0), CALCULO!AP18, 0)</f>
        <v>0</v>
      </c>
      <c r="AQ18" s="189">
        <f>+IF(AND(CALCULO!AQ18&lt;&gt;"", CALCULO!AQ18&gt;0), CALCULO!AQ18, 0)</f>
        <v>1</v>
      </c>
      <c r="AR18" s="189">
        <f>+IF(AND(CALCULO!AT18&lt;&gt;"", CALCULO!AT18&gt;0), CALCULO!AT18, 0)</f>
        <v>0</v>
      </c>
      <c r="AS18" s="189">
        <f>+IF(AND(CALCULO!AU18&lt;&gt;"", CALCULO!AU18&gt;0), CALCULO!AU18, 0)</f>
        <v>1</v>
      </c>
      <c r="AT18" s="189">
        <f>+IF(AND(CALCULO!AR18&lt;&gt;"", CALCULO!AR18&gt;0), CALCULO!AR18, 0)</f>
        <v>0</v>
      </c>
      <c r="AU18" s="189">
        <f>+IF(AND(CALCULO!AS18&lt;&gt;"", CALCULO!AS18&gt;0), CALCULO!AS18, 0)</f>
        <v>0</v>
      </c>
      <c r="AV18" s="189">
        <f>+IF(AND(CALCULO!AW18&lt;&gt;"", CALCULO!AW18&gt;0), CALCULO!AW18, 0)</f>
        <v>0</v>
      </c>
      <c r="AW18" s="190">
        <f>+IF(AND(CALCULO!AX18&lt;&gt;"", CALCULO!AX18&gt;0), CALCULO!AX18, 0)</f>
        <v>0</v>
      </c>
      <c r="BE18" s="155">
        <f>+IF(AND(CALCULO!AV18&lt;&gt;"", CALCULO!AV18&gt;0), CALCULO!AV18, "0")</f>
        <v>1</v>
      </c>
    </row>
    <row r="19" spans="1:57" s="151" customFormat="1" ht="32.25" thickBot="1" x14ac:dyDescent="0.3">
      <c r="A19" s="441"/>
      <c r="B19" s="153" t="s">
        <v>48</v>
      </c>
      <c r="C19" s="155">
        <f t="shared" si="0"/>
        <v>0</v>
      </c>
      <c r="D19" s="183"/>
      <c r="E19" s="155" t="str">
        <f>+IF(AND(CALCULO!E19&lt;&gt;"", CALCULO!E19&gt;0), CALCULO!E19, "")</f>
        <v/>
      </c>
      <c r="F19" s="183">
        <f>+IF(AND(CALCULO!F19&lt;&gt;"", CALCULO!F19&gt;0), CALCULO!F19, 0)</f>
        <v>0</v>
      </c>
      <c r="G19" s="183">
        <f>+IF(AND(CALCULO!G19&lt;&gt;"", CALCULO!G19&gt;0), CALCULO!G19, 0)</f>
        <v>0</v>
      </c>
      <c r="H19" s="183">
        <f>+IF(AND(CALCULO!H19&lt;&gt;"", CALCULO!H19&gt;0), CALCULO!H19, 0)</f>
        <v>0</v>
      </c>
      <c r="I19" s="183">
        <f>+IF(AND(CALCULO!I19&lt;&gt;"", CALCULO!I19&gt;0), CALCULO!I19, 0)</f>
        <v>0</v>
      </c>
      <c r="J19" s="183">
        <f>+IF(AND(CALCULO!J19&lt;&gt;"", CALCULO!J19&gt;0), CALCULO!J19, 0)</f>
        <v>0</v>
      </c>
      <c r="K19" s="155">
        <f>+IF(AND(CALCULO!K19&lt;&gt;"",CALCULO!K19&gt;0),CALCULO!K19,0)</f>
        <v>0</v>
      </c>
      <c r="L19" s="183">
        <f>+IF(AND(CALCULO!L19&lt;&gt;"", CALCULO!L19&gt;0), CALCULO!L19, 0)</f>
        <v>0</v>
      </c>
      <c r="M19" s="155">
        <f>+IF(AND(CALCULO!M19&lt;&gt;"", CALCULO!M19&gt;0), CALCULO!M19, 0)</f>
        <v>0</v>
      </c>
      <c r="N19" s="183">
        <f>+IF(AND(CALCULO!N19&lt;&gt;"", CALCULO!N19&gt;0), CALCULO!N19, 0)</f>
        <v>0</v>
      </c>
      <c r="O19" s="155">
        <f>+IF(AND(CALCULO!O19&lt;&gt;"", CALCULO!O19&gt;0), CALCULO!O19, 0)</f>
        <v>0</v>
      </c>
      <c r="P19" s="183">
        <f>+IF(AND(CALCULO!P19&lt;&gt;"", CALCULO!P19&gt;0), CALCULO!P19, 0)</f>
        <v>0</v>
      </c>
      <c r="Q19" s="189">
        <f>+IF(AND(CALCULO!Q19&lt;&gt;"", CALCULO!Q19&gt;0), CALCULO!Q19, 0)</f>
        <v>0</v>
      </c>
      <c r="R19" s="189">
        <f>+IF(AND(CALCULO!R19&lt;&gt;"", CALCULO!R19&gt;0), CALCULO!R19, 0)</f>
        <v>0</v>
      </c>
      <c r="S19" s="189">
        <f>+IF(AND(CALCULO!S19&lt;&gt;"", CALCULO!S19&gt;0), CALCULO!S19, 0)</f>
        <v>0</v>
      </c>
      <c r="T19" s="189">
        <f>+IF(AND(CALCULO!T19&lt;&gt;"", CALCULO!T19&gt;0), CALCULO!T19, 0)</f>
        <v>0</v>
      </c>
      <c r="U19" s="189">
        <f>+IF(AND(CALCULO!U19&lt;&gt;"", CALCULO!U19&gt;0), CALCULO!U19, 0)</f>
        <v>0</v>
      </c>
      <c r="V19" s="189">
        <f>+IF(AND(CALCULO!V19&lt;&gt;"", CALCULO!V19&gt;0), CALCULO!V19, 0)</f>
        <v>0</v>
      </c>
      <c r="W19" s="189">
        <f>+IF(AND(CALCULO!W19&lt;&gt;"", CALCULO!W19&gt;0), CALCULO!W19, 0)</f>
        <v>0</v>
      </c>
      <c r="X19" s="189">
        <f>+IF(AND(CALCULO!X19&lt;&gt;"", CALCULO!X19&gt;0), CALCULO!X19, 0)</f>
        <v>0</v>
      </c>
      <c r="Y19" s="189">
        <f>+IF(AND(CALCULO!Y19&lt;&gt;"", CALCULO!Y19&gt;0), CALCULO!Y19, 0)</f>
        <v>0</v>
      </c>
      <c r="Z19" s="189">
        <f>+IF(AND(CALCULO!Z19&lt;&gt;"", CALCULO!Z19&gt;0), CALCULO!Z19, 0)</f>
        <v>0</v>
      </c>
      <c r="AA19" s="189">
        <f>+IF(AND(CALCULO!AA19&lt;&gt;"", CALCULO!AA19&gt;0), CALCULO!AA19, 0)</f>
        <v>0</v>
      </c>
      <c r="AB19" s="189">
        <f>+IF(AND(CALCULO!AB19&lt;&gt;"", CALCULO!AB19&gt;0), CALCULO!AB19, 0)</f>
        <v>0</v>
      </c>
      <c r="AC19" s="189">
        <f>+IF(AND(CALCULO!AC19&lt;&gt;"", CALCULO!AC19&gt;0), CALCULO!AC19, 0)</f>
        <v>0</v>
      </c>
      <c r="AD19" s="189">
        <f>+IF(AND(CALCULO!AD19&lt;&gt;"", CALCULO!AD19&gt;0), CALCULO!AD19, 0)</f>
        <v>0</v>
      </c>
      <c r="AE19" s="189">
        <f>+IF(AND(CALCULO!AE19&lt;&gt;"", CALCULO!AE19&gt;0), CALCULO!AE19, 0)</f>
        <v>0</v>
      </c>
      <c r="AF19" s="189">
        <f>+IF(AND(CALCULO!AF19&lt;&gt;"", CALCULO!AF19&gt;0), CALCULO!AF19, 0)</f>
        <v>0</v>
      </c>
      <c r="AG19" s="189">
        <f>+IF(AND(CALCULO!AG19&lt;&gt;"", CALCULO!AG19&gt;0), CALCULO!AG19, 0)</f>
        <v>0</v>
      </c>
      <c r="AH19" s="189">
        <f>+IF(AND(CALCULO!AH19&lt;&gt;"", CALCULO!AH19&gt;0), CALCULO!AH19, 0)</f>
        <v>0</v>
      </c>
      <c r="AI19" s="189">
        <f>+IF(AND(CALCULO!AI19&lt;&gt;"", CALCULO!AI19&gt;0), CALCULO!AI19, 0)</f>
        <v>0</v>
      </c>
      <c r="AJ19" s="189">
        <f>+IF(AND(CALCULO!AJ19&lt;&gt;"", CALCULO!AJ19&gt;0), CALCULO!AJ19, 0)</f>
        <v>0</v>
      </c>
      <c r="AK19" s="189">
        <f>+IF(AND(CALCULO!AK19&lt;&gt;"", CALCULO!AK19&gt;0), CALCULO!AK19, 0)</f>
        <v>0</v>
      </c>
      <c r="AL19" s="189">
        <f>+IF(AND(CALCULO!AL19&lt;&gt;"", CALCULO!AL19&gt;0), CALCULO!AL19, 0)</f>
        <v>0</v>
      </c>
      <c r="AM19" s="189">
        <f>+IF(AND(CALCULO!AM19&lt;&gt;"", CALCULO!AM19&gt;0), CALCULO!AM19, 0)</f>
        <v>0</v>
      </c>
      <c r="AN19" s="204">
        <f>+IF(AND(CALCULO!AN19&lt;&gt;"", CALCULO!AN19&gt;0), CALCULO!AN19, 0)</f>
        <v>0</v>
      </c>
      <c r="AO19" s="189">
        <f>+IF(AND(CALCULO!AO19&lt;&gt;"", CALCULO!AO19&gt;0), CALCULO!AO19, 0)</f>
        <v>0</v>
      </c>
      <c r="AP19" s="275">
        <f>+IF(AND(CALCULO!AP19&lt;&gt;"", CALCULO!AP19&gt;0), CALCULO!AP19, 0)</f>
        <v>0</v>
      </c>
      <c r="AQ19" s="189">
        <f>+IF(AND(CALCULO!AQ19&lt;&gt;"", CALCULO!AQ19&gt;0), CALCULO!AQ19, 0)</f>
        <v>0</v>
      </c>
      <c r="AR19" s="189">
        <f>+IF(AND(CALCULO!AT19&lt;&gt;"", CALCULO!AT19&gt;0), CALCULO!AT19, 0)</f>
        <v>0</v>
      </c>
      <c r="AS19" s="189">
        <f>+IF(AND(CALCULO!AU19&lt;&gt;"", CALCULO!AU19&gt;0), CALCULO!AU19, 0)</f>
        <v>0</v>
      </c>
      <c r="AT19" s="275">
        <f>+IF(AND(CALCULO!AR19&lt;&gt;"", CALCULO!AR19&gt;0), CALCULO!AR19, 0)</f>
        <v>0</v>
      </c>
      <c r="AU19" s="189">
        <f>+IF(AND(CALCULO!AS19&lt;&gt;"", CALCULO!AS19&gt;0), CALCULO!AS19, 0)</f>
        <v>0</v>
      </c>
      <c r="AV19" s="189">
        <f>+IF(AND(CALCULO!AW19&lt;&gt;"", CALCULO!AW19&gt;0), CALCULO!AW19, 0)</f>
        <v>0</v>
      </c>
      <c r="AW19" s="276">
        <f>+IF(AND(CALCULO!AX19&lt;&gt;"", CALCULO!AX19&gt;0), CALCULO!AX19, 0)</f>
        <v>0</v>
      </c>
      <c r="BE19" s="155" t="str">
        <f>+IF(AND(CALCULO!AV19&lt;&gt;"", CALCULO!AV19&gt;0), CALCULO!AV19, "0")</f>
        <v>0</v>
      </c>
    </row>
    <row r="20" spans="1:57" s="151" customFormat="1" ht="26.25" customHeight="1" thickBot="1" x14ac:dyDescent="0.3">
      <c r="A20" s="442"/>
      <c r="B20" s="192" t="s">
        <v>49</v>
      </c>
      <c r="C20" s="193">
        <f t="shared" si="0"/>
        <v>3</v>
      </c>
      <c r="D20" s="193"/>
      <c r="E20" s="193">
        <f>+IF(AND(CALCULO!E20&lt;&gt;"", CALCULO!E20&gt;0), CALCULO!E20, "")</f>
        <v>2</v>
      </c>
      <c r="F20" s="193">
        <f>+IF(AND(CALCULO!F20&lt;&gt;"", CALCULO!F20&gt;0), CALCULO!F20, 0)</f>
        <v>0</v>
      </c>
      <c r="G20" s="193">
        <f>+IF(AND(CALCULO!G20&lt;&gt;"", CALCULO!G20&gt;0), CALCULO!G20, 0)</f>
        <v>0</v>
      </c>
      <c r="H20" s="193">
        <f>+IF(AND(CALCULO!H20&lt;&gt;"", CALCULO!H20&gt;0), CALCULO!H20, 0)</f>
        <v>0</v>
      </c>
      <c r="I20" s="193">
        <f>+IF(AND(CALCULO!I20&lt;&gt;"", CALCULO!I20&gt;0), CALCULO!I20, 0)</f>
        <v>0</v>
      </c>
      <c r="J20" s="193">
        <f>+IF(AND(CALCULO!J20&lt;&gt;"", CALCULO!J20&gt;0), CALCULO!J20, 0)</f>
        <v>0</v>
      </c>
      <c r="K20" s="193">
        <f>+IF(AND(CALCULO!K20&lt;&gt;"",CALCULO!K20&gt;0),CALCULO!K20,0)</f>
        <v>0</v>
      </c>
      <c r="L20" s="193">
        <f>+IF(AND(CALCULO!L20&lt;&gt;"", CALCULO!L20&gt;0), CALCULO!L20, 0)</f>
        <v>0</v>
      </c>
      <c r="M20" s="193">
        <f>+IF(AND(CALCULO!M20&lt;&gt;"", CALCULO!M20&gt;0), CALCULO!M20, 0)</f>
        <v>0</v>
      </c>
      <c r="N20" s="193">
        <f>+IF(AND(CALCULO!N20&lt;&gt;"", CALCULO!N20&gt;0), CALCULO!N20, 0)</f>
        <v>1</v>
      </c>
      <c r="O20" s="193">
        <f>+IF(AND(CALCULO!O20&lt;&gt;"", CALCULO!O20&gt;0), CALCULO!O20, 0)</f>
        <v>0</v>
      </c>
      <c r="P20" s="193">
        <f>+IF(AND(CALCULO!P20&lt;&gt;"", CALCULO!P20&gt;0), CALCULO!P20, 0)</f>
        <v>0</v>
      </c>
      <c r="Q20" s="189">
        <f>+IF(AND(CALCULO!Q20&lt;&gt;"", CALCULO!Q20&gt;0), CALCULO!Q20, 0)</f>
        <v>0</v>
      </c>
      <c r="R20" s="189">
        <f>+IF(AND(CALCULO!R20&lt;&gt;"", CALCULO!R20&gt;0), CALCULO!R20, 0)</f>
        <v>0</v>
      </c>
      <c r="S20" s="189">
        <f>+IF(AND(CALCULO!S20&lt;&gt;"", CALCULO!S20&gt;0), CALCULO!S20, 0)</f>
        <v>0</v>
      </c>
      <c r="T20" s="189">
        <f>+IF(AND(CALCULO!T20&lt;&gt;"", CALCULO!T20&gt;0), CALCULO!T20, 0)</f>
        <v>0</v>
      </c>
      <c r="U20" s="189">
        <f>+IF(AND(CALCULO!U20&lt;&gt;"", CALCULO!U20&gt;0), CALCULO!U20, 0)</f>
        <v>1</v>
      </c>
      <c r="V20" s="189">
        <f>+IF(AND(CALCULO!V20&lt;&gt;"", CALCULO!V20&gt;0), CALCULO!V20, 0)</f>
        <v>0</v>
      </c>
      <c r="W20" s="189">
        <f>+IF(AND(CALCULO!W20&lt;&gt;"", CALCULO!W20&gt;0), CALCULO!W20, 0)</f>
        <v>0</v>
      </c>
      <c r="X20" s="189">
        <f>+IF(AND(CALCULO!X20&lt;&gt;"", CALCULO!X20&gt;0), CALCULO!X20, 0)</f>
        <v>0</v>
      </c>
      <c r="Y20" s="189">
        <f>+IF(AND(CALCULO!Y20&lt;&gt;"", CALCULO!Y20&gt;0), CALCULO!Y20, 0)</f>
        <v>0</v>
      </c>
      <c r="Z20" s="189">
        <f>+IF(AND(CALCULO!Z20&lt;&gt;"", CALCULO!Z20&gt;0), CALCULO!Z20, 0)</f>
        <v>0</v>
      </c>
      <c r="AA20" s="189">
        <f>+IF(AND(CALCULO!AA20&lt;&gt;"", CALCULO!AA20&gt;0), CALCULO!AA20, 0)</f>
        <v>0</v>
      </c>
      <c r="AB20" s="189">
        <f>+IF(AND(CALCULO!AB20&lt;&gt;"", CALCULO!AB20&gt;0), CALCULO!AB20, 0)</f>
        <v>0</v>
      </c>
      <c r="AC20" s="189">
        <f>+IF(AND(CALCULO!AC20&lt;&gt;"", CALCULO!AC20&gt;0), CALCULO!AC20, 0)</f>
        <v>1</v>
      </c>
      <c r="AD20" s="189">
        <f>+IF(AND(CALCULO!AD20&lt;&gt;"", CALCULO!AD20&gt;0), CALCULO!AD20, 0)</f>
        <v>0</v>
      </c>
      <c r="AE20" s="189">
        <f>+IF(AND(CALCULO!AE20&lt;&gt;"", CALCULO!AE20&gt;0), CALCULO!AE20, 0)</f>
        <v>0</v>
      </c>
      <c r="AF20" s="189">
        <f>+IF(AND(CALCULO!AF20&lt;&gt;"", CALCULO!AF20&gt;0), CALCULO!AF20, 0)</f>
        <v>0</v>
      </c>
      <c r="AG20" s="189">
        <f>+IF(AND(CALCULO!AG20&lt;&gt;"", CALCULO!AG20&gt;0), CALCULO!AG20, 0)</f>
        <v>0</v>
      </c>
      <c r="AH20" s="189">
        <f>+IF(AND(CALCULO!AH20&lt;&gt;"", CALCULO!AH20&gt;0), CALCULO!AH20, 0)</f>
        <v>0</v>
      </c>
      <c r="AI20" s="189">
        <f>+IF(AND(CALCULO!AI20&lt;&gt;"", CALCULO!AI20&gt;0), CALCULO!AI20, 0)</f>
        <v>0</v>
      </c>
      <c r="AJ20" s="189">
        <f>+IF(AND(CALCULO!AJ20&lt;&gt;"", CALCULO!AJ20&gt;0), CALCULO!AJ20, 0)</f>
        <v>0</v>
      </c>
      <c r="AK20" s="189">
        <f>+IF(AND(CALCULO!AK20&lt;&gt;"", CALCULO!AK20&gt;0), CALCULO!AK20, 0)</f>
        <v>0</v>
      </c>
      <c r="AL20" s="189">
        <f>+IF(AND(CALCULO!AL20&lt;&gt;"", CALCULO!AL20&gt;0), CALCULO!AL20, 0)</f>
        <v>0</v>
      </c>
      <c r="AM20" s="189">
        <f>+IF(AND(CALCULO!AM20&lt;&gt;"", CALCULO!AM20&gt;0), CALCULO!AM20, 0)</f>
        <v>0</v>
      </c>
      <c r="AN20" s="204">
        <f>+IF(AND(CALCULO!AN20&lt;&gt;"", CALCULO!AN20&gt;0), CALCULO!AN20, 0)</f>
        <v>0</v>
      </c>
      <c r="AO20" s="189">
        <f>+IF(AND(CALCULO!AO20&lt;&gt;"", CALCULO!AO20&gt;0), CALCULO!AO20, 0)</f>
        <v>0</v>
      </c>
      <c r="AP20" s="189">
        <f>+IF(AND(CALCULO!AP20&lt;&gt;"", CALCULO!AP20&gt;0), CALCULO!AP20, 0)</f>
        <v>0</v>
      </c>
      <c r="AQ20" s="189">
        <f>+IF(AND(CALCULO!AQ20&lt;&gt;"", CALCULO!AQ20&gt;0), CALCULO!AQ20, 0)</f>
        <v>0</v>
      </c>
      <c r="AR20" s="189">
        <f>+IF(AND(CALCULO!AT20&lt;&gt;"", CALCULO!AT20&gt;0), CALCULO!AT20, 0)</f>
        <v>0</v>
      </c>
      <c r="AS20" s="189">
        <f>+IF(AND(CALCULO!AU20&lt;&gt;"", CALCULO!AU20&gt;0), CALCULO!AU20, 0)</f>
        <v>0</v>
      </c>
      <c r="AT20" s="189">
        <f>+IF(AND(CALCULO!AR20&lt;&gt;"", CALCULO!AR20&gt;0), CALCULO!AR20, 0)</f>
        <v>0</v>
      </c>
      <c r="AU20" s="189">
        <f>+IF(AND(CALCULO!AS20&lt;&gt;"", CALCULO!AS20&gt;0), CALCULO!AS20, 0)</f>
        <v>0</v>
      </c>
      <c r="AV20" s="189">
        <f>+IF(AND(CALCULO!AW20&lt;&gt;"", CALCULO!AW20&gt;0), CALCULO!AW20, 0)</f>
        <v>0</v>
      </c>
      <c r="AW20" s="190">
        <f>+IF(AND(CALCULO!AX20&lt;&gt;"", CALCULO!AX20&gt;0), CALCULO!AX20, 0)</f>
        <v>0</v>
      </c>
      <c r="BE20" s="155" t="str">
        <f>+IF(AND(CALCULO!AV20&lt;&gt;"", CALCULO!AV20&gt;0), CALCULO!AV20, "0")</f>
        <v>0</v>
      </c>
    </row>
    <row r="21" spans="1:57" s="354" customFormat="1" ht="32.25" customHeight="1" thickBot="1" x14ac:dyDescent="0.3">
      <c r="A21" s="519" t="s">
        <v>199</v>
      </c>
      <c r="B21" s="520"/>
      <c r="C21" s="355"/>
      <c r="D21" s="356"/>
      <c r="E21" s="356"/>
      <c r="F21" s="356"/>
      <c r="G21" s="356"/>
      <c r="H21" s="356"/>
      <c r="I21" s="356"/>
      <c r="J21" s="356"/>
      <c r="K21" s="356"/>
      <c r="L21" s="356"/>
      <c r="M21" s="356"/>
      <c r="N21" s="356"/>
      <c r="O21" s="356"/>
      <c r="P21" s="356"/>
      <c r="Q21" s="356"/>
      <c r="R21" s="356"/>
      <c r="S21" s="356"/>
      <c r="T21" s="356"/>
      <c r="U21" s="356"/>
      <c r="V21" s="356"/>
      <c r="W21" s="356"/>
      <c r="X21" s="356"/>
      <c r="Y21" s="356"/>
      <c r="Z21" s="356"/>
      <c r="AA21" s="356"/>
      <c r="AB21" s="356"/>
      <c r="AC21" s="356"/>
      <c r="AD21" s="356"/>
      <c r="AE21" s="356"/>
      <c r="AF21" s="356"/>
      <c r="AG21" s="356"/>
      <c r="AH21" s="356"/>
      <c r="AI21" s="356"/>
      <c r="AJ21" s="356"/>
      <c r="AK21" s="356"/>
      <c r="AL21" s="356"/>
      <c r="AM21" s="357"/>
      <c r="AN21" s="358"/>
      <c r="AO21" s="359"/>
      <c r="AP21" s="359"/>
      <c r="AQ21" s="359"/>
      <c r="AR21" s="359"/>
      <c r="AS21" s="359"/>
      <c r="AT21" s="359"/>
      <c r="AU21" s="359"/>
      <c r="AV21" s="359"/>
      <c r="AW21" s="360"/>
      <c r="BE21" s="356"/>
    </row>
    <row r="22" spans="1:57" s="354" customFormat="1" ht="15.75" thickBot="1" x14ac:dyDescent="0.3">
      <c r="A22" s="521"/>
      <c r="B22" s="522"/>
      <c r="C22" s="355"/>
      <c r="D22" s="356"/>
      <c r="E22" s="356"/>
      <c r="F22" s="356"/>
      <c r="G22" s="356"/>
      <c r="H22" s="356"/>
      <c r="I22" s="356"/>
      <c r="J22" s="356"/>
      <c r="K22" s="356"/>
      <c r="L22" s="356"/>
      <c r="M22" s="356"/>
      <c r="N22" s="356"/>
      <c r="O22" s="356"/>
      <c r="P22" s="356"/>
      <c r="Q22" s="356"/>
      <c r="R22" s="356"/>
      <c r="S22" s="356"/>
      <c r="T22" s="356"/>
      <c r="U22" s="356"/>
      <c r="V22" s="356"/>
      <c r="W22" s="356"/>
      <c r="X22" s="356"/>
      <c r="Y22" s="356"/>
      <c r="Z22" s="356"/>
      <c r="AA22" s="356"/>
      <c r="AB22" s="356"/>
      <c r="AC22" s="356"/>
      <c r="AD22" s="356"/>
      <c r="AE22" s="356"/>
      <c r="AF22" s="356"/>
      <c r="AG22" s="356"/>
      <c r="AH22" s="356"/>
      <c r="AI22" s="356"/>
      <c r="AJ22" s="356"/>
      <c r="AK22" s="356"/>
      <c r="AL22" s="356"/>
      <c r="AM22" s="357"/>
      <c r="AN22" s="358"/>
      <c r="AO22" s="359"/>
      <c r="AP22" s="359"/>
      <c r="AQ22" s="359"/>
      <c r="AR22" s="359"/>
      <c r="AS22" s="359"/>
      <c r="AT22" s="359"/>
      <c r="AU22" s="359"/>
      <c r="AV22" s="359"/>
      <c r="AW22" s="360"/>
      <c r="BE22" s="356"/>
    </row>
    <row r="23" spans="1:57" s="354" customFormat="1" ht="15.75" thickBot="1" x14ac:dyDescent="0.3">
      <c r="A23" s="523"/>
      <c r="B23" s="524"/>
      <c r="C23" s="355"/>
      <c r="D23" s="356"/>
      <c r="E23" s="356"/>
      <c r="F23" s="356"/>
      <c r="G23" s="356"/>
      <c r="H23" s="356"/>
      <c r="I23" s="356"/>
      <c r="J23" s="356"/>
      <c r="K23" s="356"/>
      <c r="L23" s="356"/>
      <c r="M23" s="356"/>
      <c r="N23" s="356"/>
      <c r="O23" s="356"/>
      <c r="P23" s="356"/>
      <c r="Q23" s="356"/>
      <c r="R23" s="356"/>
      <c r="S23" s="356"/>
      <c r="T23" s="356"/>
      <c r="U23" s="356"/>
      <c r="V23" s="356"/>
      <c r="W23" s="356"/>
      <c r="X23" s="356"/>
      <c r="Y23" s="356"/>
      <c r="Z23" s="356"/>
      <c r="AA23" s="356"/>
      <c r="AB23" s="356"/>
      <c r="AC23" s="356"/>
      <c r="AD23" s="356"/>
      <c r="AE23" s="356"/>
      <c r="AF23" s="356"/>
      <c r="AG23" s="356"/>
      <c r="AH23" s="356"/>
      <c r="AI23" s="356"/>
      <c r="AJ23" s="356"/>
      <c r="AK23" s="356"/>
      <c r="AL23" s="356"/>
      <c r="AM23" s="357"/>
      <c r="AN23" s="358"/>
      <c r="AO23" s="359"/>
      <c r="AP23" s="359"/>
      <c r="AQ23" s="359"/>
      <c r="AR23" s="359"/>
      <c r="AS23" s="359"/>
      <c r="AT23" s="359"/>
      <c r="AU23" s="359"/>
      <c r="AV23" s="359"/>
      <c r="AW23" s="360"/>
      <c r="BE23" s="356"/>
    </row>
    <row r="24" spans="1:57" s="151" customFormat="1" ht="44.25" thickBot="1" x14ac:dyDescent="0.3">
      <c r="A24" s="439" t="s">
        <v>50</v>
      </c>
      <c r="B24" s="198" t="s">
        <v>51</v>
      </c>
      <c r="C24" s="189">
        <f t="shared" si="0"/>
        <v>1</v>
      </c>
      <c r="D24" s="189"/>
      <c r="E24" s="189" t="str">
        <f>+IF(AND(CALCULO!E21&lt;&gt;"", CALCULO!E21&gt;0), CALCULO!E21, "")</f>
        <v/>
      </c>
      <c r="F24" s="189">
        <f>+IF(AND(CALCULO!F21&lt;&gt;"", CALCULO!F21&gt;0), CALCULO!F21, 0)</f>
        <v>0</v>
      </c>
      <c r="G24" s="189">
        <f>+IF(AND(CALCULO!G21&lt;&gt;"", CALCULO!G21&gt;0), CALCULO!G21, 0)</f>
        <v>0</v>
      </c>
      <c r="H24" s="189">
        <f>+IF(AND(CALCULO!H21&lt;&gt;"", CALCULO!H21&gt;0), CALCULO!H21, 0)</f>
        <v>0</v>
      </c>
      <c r="I24" s="189">
        <f>+IF(AND(CALCULO!I21&lt;&gt;"", CALCULO!I21&gt;0), CALCULO!I21, 0)</f>
        <v>0</v>
      </c>
      <c r="J24" s="189">
        <f>+IF(AND(CALCULO!J21&lt;&gt;"", CALCULO!J21&gt;0), CALCULO!J21, 0)</f>
        <v>0</v>
      </c>
      <c r="K24" s="189">
        <f>+IF(AND(CALCULO!K21&lt;&gt;"",CALCULO!K21&gt;0),CALCULO!K21,0)</f>
        <v>0</v>
      </c>
      <c r="L24" s="189">
        <f>+IF(AND(CALCULO!L21&lt;&gt;"", CALCULO!L21&gt;0), CALCULO!L21, 0)</f>
        <v>0</v>
      </c>
      <c r="M24" s="189">
        <f>+IF(AND(CALCULO!M21&lt;&gt;"", CALCULO!M21&gt;0), CALCULO!M21, 0)</f>
        <v>0</v>
      </c>
      <c r="N24" s="189">
        <f>+IF(AND(CALCULO!N21&lt;&gt;"", CALCULO!N21&gt;0), CALCULO!N21, 0)</f>
        <v>1</v>
      </c>
      <c r="O24" s="189">
        <f>+IF(AND(CALCULO!O21&lt;&gt;"", CALCULO!O21&gt;0), CALCULO!O21, 0)</f>
        <v>0</v>
      </c>
      <c r="P24" s="189">
        <f>+IF(AND(CALCULO!P21&lt;&gt;"", CALCULO!P21&gt;0), CALCULO!P21, 0)</f>
        <v>0</v>
      </c>
      <c r="Q24" s="189">
        <f>+IF(AND(CALCULO!Q21&lt;&gt;"", CALCULO!Q21&gt;0), CALCULO!Q21, 0)</f>
        <v>0</v>
      </c>
      <c r="R24" s="189">
        <f>+IF(AND(CALCULO!R21&lt;&gt;"", CALCULO!R21&gt;0), CALCULO!R21, 0)</f>
        <v>0</v>
      </c>
      <c r="S24" s="189">
        <f>+IF(AND(CALCULO!S21&lt;&gt;"", CALCULO!S21&gt;0), CALCULO!S21, 0)</f>
        <v>0</v>
      </c>
      <c r="T24" s="189">
        <f>+IF(AND(CALCULO!T21&lt;&gt;"", CALCULO!T21&gt;0), CALCULO!T21, 0)</f>
        <v>0</v>
      </c>
      <c r="U24" s="189">
        <f>+IF(AND(CALCULO!U21&lt;&gt;"", CALCULO!U21&gt;0), CALCULO!U21, 0)</f>
        <v>0</v>
      </c>
      <c r="V24" s="189">
        <f>+IF(AND(CALCULO!V21&lt;&gt;"", CALCULO!V21&gt;0), CALCULO!V21, 0)</f>
        <v>0</v>
      </c>
      <c r="W24" s="189">
        <f>+IF(AND(CALCULO!W21&lt;&gt;"", CALCULO!W21&gt;0), CALCULO!W21, 0)</f>
        <v>0</v>
      </c>
      <c r="X24" s="189">
        <f>+IF(AND(CALCULO!X21&lt;&gt;"", CALCULO!X21&gt;0), CALCULO!X21, 0)</f>
        <v>0</v>
      </c>
      <c r="Y24" s="189">
        <f>+IF(AND(CALCULO!Y21&lt;&gt;"", CALCULO!Y21&gt;0), CALCULO!Y21, 0)</f>
        <v>0</v>
      </c>
      <c r="Z24" s="189">
        <f>+IF(AND(CALCULO!Z21&lt;&gt;"", CALCULO!Z21&gt;0), CALCULO!Z21, 0)</f>
        <v>0</v>
      </c>
      <c r="AA24" s="189">
        <f>+IF(AND(CALCULO!AA21&lt;&gt;"", CALCULO!AA21&gt;0), CALCULO!AA21, 0)</f>
        <v>0</v>
      </c>
      <c r="AB24" s="189">
        <f>+IF(AND(CALCULO!AB21&lt;&gt;"", CALCULO!AB21&gt;0), CALCULO!AB21, 0)</f>
        <v>0</v>
      </c>
      <c r="AC24" s="189">
        <f>+IF(AND(CALCULO!AC21&lt;&gt;"", CALCULO!AC21&gt;0), CALCULO!AC21, 0)</f>
        <v>0</v>
      </c>
      <c r="AD24" s="189">
        <f>+IF(AND(CALCULO!AD21&lt;&gt;"", CALCULO!AD21&gt;0), CALCULO!AD21, 0)</f>
        <v>0</v>
      </c>
      <c r="AE24" s="189">
        <f>+IF(AND(CALCULO!AE21&lt;&gt;"", CALCULO!AE21&gt;0), CALCULO!AE21, 0)</f>
        <v>0</v>
      </c>
      <c r="AF24" s="189">
        <f>+IF(AND(CALCULO!AF21&lt;&gt;"", CALCULO!AF21&gt;0), CALCULO!AF21, 0)</f>
        <v>0</v>
      </c>
      <c r="AG24" s="189">
        <f>+IF(AND(CALCULO!AG21&lt;&gt;"", CALCULO!AG21&gt;0), CALCULO!AG21, 0)</f>
        <v>0</v>
      </c>
      <c r="AH24" s="189">
        <f>+IF(AND(CALCULO!AH21&lt;&gt;"", CALCULO!AH21&gt;0), CALCULO!AH21, 0)</f>
        <v>0</v>
      </c>
      <c r="AI24" s="189">
        <f>+IF(AND(CALCULO!AI21&lt;&gt;"", CALCULO!AI21&gt;0), CALCULO!AI21, 0)</f>
        <v>0</v>
      </c>
      <c r="AJ24" s="189">
        <f>+IF(AND(CALCULO!AJ21&lt;&gt;"", CALCULO!AJ21&gt;0), CALCULO!AJ21, 0)</f>
        <v>0</v>
      </c>
      <c r="AK24" s="189">
        <f>+IF(AND(CALCULO!AK21&lt;&gt;"", CALCULO!AK21&gt;0), CALCULO!AK21, 0)</f>
        <v>0</v>
      </c>
      <c r="AL24" s="189">
        <f>+IF(AND(CALCULO!AL21&lt;&gt;"", CALCULO!AL21&gt;0), CALCULO!AL21, 0)</f>
        <v>0</v>
      </c>
      <c r="AM24" s="189">
        <f>+IF(AND(CALCULO!AM21&lt;&gt;"", CALCULO!AM21&gt;0), CALCULO!AM21, 0)</f>
        <v>0</v>
      </c>
      <c r="AN24" s="204">
        <f>+IF(AND(CALCULO!AN21&lt;&gt;"", CALCULO!AN21&gt;0), CALCULO!AN21, 0)</f>
        <v>0</v>
      </c>
      <c r="AO24" s="189">
        <f>+IF(AND(CALCULO!AO21&lt;&gt;"", CALCULO!AO21&gt;0), CALCULO!AO21, 0)</f>
        <v>0</v>
      </c>
      <c r="AP24" s="189">
        <f>+IF(AND(CALCULO!AP21&lt;&gt;"", CALCULO!AP21&gt;0), CALCULO!AP21, 0)</f>
        <v>0</v>
      </c>
      <c r="AQ24" s="189">
        <f>+IF(AND(CALCULO!AQ21&lt;&gt;"", CALCULO!AQ21&gt;0), CALCULO!AQ21, 0)</f>
        <v>0</v>
      </c>
      <c r="AR24" s="189">
        <f>+IF(AND(CALCULO!AT21&lt;&gt;"", CALCULO!AT21&gt;0), CALCULO!AT21, 0)</f>
        <v>0</v>
      </c>
      <c r="AS24" s="189">
        <f>+IF(AND(CALCULO!AU21&lt;&gt;"", CALCULO!AU21&gt;0), CALCULO!AU21, 0)</f>
        <v>0</v>
      </c>
      <c r="AT24" s="189">
        <f>+IF(AND(CALCULO!AR21&lt;&gt;"", CALCULO!AR21&gt;0), CALCULO!AR21, 0)</f>
        <v>0</v>
      </c>
      <c r="AU24" s="189">
        <f>+IF(AND(CALCULO!AS21&lt;&gt;"", CALCULO!AS21&gt;0), CALCULO!AS21, 0)</f>
        <v>0</v>
      </c>
      <c r="AV24" s="189">
        <f>+IF(AND(CALCULO!AW21&lt;&gt;"", CALCULO!AW21&gt;0), CALCULO!AW21, 0)</f>
        <v>0</v>
      </c>
      <c r="AW24" s="190">
        <f>+IF(AND(CALCULO!AX21&lt;&gt;"", CALCULO!AX21&gt;0), CALCULO!AX21, 0)</f>
        <v>0</v>
      </c>
      <c r="BE24" s="155" t="str">
        <f>+IF(AND(CALCULO!AV21&lt;&gt;"", CALCULO!AV21&gt;0), CALCULO!AV21, "0")</f>
        <v>0</v>
      </c>
    </row>
    <row r="25" spans="1:57" s="151" customFormat="1" ht="44.25" thickBot="1" x14ac:dyDescent="0.3">
      <c r="A25" s="440"/>
      <c r="B25" s="157" t="s">
        <v>52</v>
      </c>
      <c r="C25" s="155">
        <f t="shared" si="0"/>
        <v>2</v>
      </c>
      <c r="D25" s="155"/>
      <c r="E25" s="155" t="str">
        <f>+IF(AND(CALCULO!E22&lt;&gt;"", CALCULO!E22&gt;0), CALCULO!E22, "")</f>
        <v/>
      </c>
      <c r="F25" s="155">
        <f>+IF(AND(CALCULO!F22&lt;&gt;"", CALCULO!F22&gt;0), CALCULO!F22, 0)</f>
        <v>0</v>
      </c>
      <c r="G25" s="155">
        <f>+IF(AND(CALCULO!G22&lt;&gt;"", CALCULO!G22&gt;0), CALCULO!G22, 0)</f>
        <v>0</v>
      </c>
      <c r="H25" s="155">
        <f>+IF(AND(CALCULO!H22&lt;&gt;"", CALCULO!H22&gt;0), CALCULO!H22, 0)</f>
        <v>0</v>
      </c>
      <c r="I25" s="155">
        <f>+IF(AND(CALCULO!I22&lt;&gt;"", CALCULO!I22&gt;0), CALCULO!I22, 0)</f>
        <v>0</v>
      </c>
      <c r="J25" s="155">
        <f>+IF(AND(CALCULO!J22&lt;&gt;"", CALCULO!J22&gt;0), CALCULO!J22, 0)</f>
        <v>0</v>
      </c>
      <c r="K25" s="155">
        <f>+IF(AND(CALCULO!K22&lt;&gt;"",CALCULO!K22&gt;0),CALCULO!K22,0)</f>
        <v>0</v>
      </c>
      <c r="L25" s="155">
        <f>+IF(AND(CALCULO!L22&lt;&gt;"", CALCULO!L22&gt;0), CALCULO!L22, 0)</f>
        <v>0</v>
      </c>
      <c r="M25" s="155">
        <f>+IF(AND(CALCULO!M22&lt;&gt;"", CALCULO!M22&gt;0), CALCULO!M22, 0)</f>
        <v>0</v>
      </c>
      <c r="N25" s="155">
        <f>+IF(AND(CALCULO!N22&lt;&gt;"", CALCULO!N22&gt;0), CALCULO!N22, 0)</f>
        <v>1</v>
      </c>
      <c r="O25" s="155">
        <f>+IF(AND(CALCULO!O22&lt;&gt;"", CALCULO!O22&gt;0), CALCULO!O22, 0)</f>
        <v>0</v>
      </c>
      <c r="P25" s="155">
        <f>+IF(AND(CALCULO!P22&lt;&gt;"", CALCULO!P22&gt;0), CALCULO!P22, 0)</f>
        <v>0</v>
      </c>
      <c r="Q25" s="189">
        <f>+IF(AND(CALCULO!Q22&lt;&gt;"", CALCULO!Q22&gt;0), CALCULO!Q22, 0)</f>
        <v>0</v>
      </c>
      <c r="R25" s="189">
        <f>+IF(AND(CALCULO!R22&lt;&gt;"", CALCULO!R22&gt;0), CALCULO!R22, 0)</f>
        <v>0</v>
      </c>
      <c r="S25" s="189">
        <f>+IF(AND(CALCULO!S22&lt;&gt;"", CALCULO!S22&gt;0), CALCULO!S22, 0)</f>
        <v>0</v>
      </c>
      <c r="T25" s="189">
        <f>+IF(AND(CALCULO!T22&lt;&gt;"", CALCULO!T22&gt;0), CALCULO!T22, 0)</f>
        <v>0</v>
      </c>
      <c r="U25" s="189">
        <f>+IF(AND(CALCULO!U22&lt;&gt;"", CALCULO!U22&gt;0), CALCULO!U22, 0)</f>
        <v>0</v>
      </c>
      <c r="V25" s="189">
        <f>+IF(AND(CALCULO!V22&lt;&gt;"", CALCULO!V22&gt;0), CALCULO!V22, 0)</f>
        <v>0</v>
      </c>
      <c r="W25" s="189">
        <f>+IF(AND(CALCULO!W22&lt;&gt;"", CALCULO!W22&gt;0), CALCULO!W22, 0)</f>
        <v>0</v>
      </c>
      <c r="X25" s="189">
        <f>+IF(AND(CALCULO!X22&lt;&gt;"", CALCULO!X22&gt;0), CALCULO!X22, 0)</f>
        <v>0</v>
      </c>
      <c r="Y25" s="189">
        <f>+IF(AND(CALCULO!Y22&lt;&gt;"", CALCULO!Y22&gt;0), CALCULO!Y22, 0)</f>
        <v>0</v>
      </c>
      <c r="Z25" s="189">
        <f>+IF(AND(CALCULO!Z22&lt;&gt;"", CALCULO!Z22&gt;0), CALCULO!Z22, 0)</f>
        <v>0</v>
      </c>
      <c r="AA25" s="189">
        <f>+IF(AND(CALCULO!AA22&lt;&gt;"", CALCULO!AA22&gt;0), CALCULO!AA22, 0)</f>
        <v>0</v>
      </c>
      <c r="AB25" s="189">
        <f>+IF(AND(CALCULO!AB22&lt;&gt;"", CALCULO!AB22&gt;0), CALCULO!AB22, 0)</f>
        <v>1</v>
      </c>
      <c r="AC25" s="189">
        <f>+IF(AND(CALCULO!AC22&lt;&gt;"", CALCULO!AC22&gt;0), CALCULO!AC22, 0)</f>
        <v>0</v>
      </c>
      <c r="AD25" s="189">
        <f>+IF(AND(CALCULO!AD22&lt;&gt;"", CALCULO!AD22&gt;0), CALCULO!AD22, 0)</f>
        <v>0</v>
      </c>
      <c r="AE25" s="189">
        <f>+IF(AND(CALCULO!AE22&lt;&gt;"", CALCULO!AE22&gt;0), CALCULO!AE22, 0)</f>
        <v>0</v>
      </c>
      <c r="AF25" s="189">
        <f>+IF(AND(CALCULO!AF22&lt;&gt;"", CALCULO!AF22&gt;0), CALCULO!AF22, 0)</f>
        <v>0</v>
      </c>
      <c r="AG25" s="189">
        <f>+IF(AND(CALCULO!AG22&lt;&gt;"", CALCULO!AG22&gt;0), CALCULO!AG22, 0)</f>
        <v>0</v>
      </c>
      <c r="AH25" s="189">
        <f>+IF(AND(CALCULO!AH22&lt;&gt;"", CALCULO!AH22&gt;0), CALCULO!AH22, 0)</f>
        <v>0</v>
      </c>
      <c r="AI25" s="189">
        <f>+IF(AND(CALCULO!AI22&lt;&gt;"", CALCULO!AI22&gt;0), CALCULO!AI22, 0)</f>
        <v>0</v>
      </c>
      <c r="AJ25" s="189">
        <f>+IF(AND(CALCULO!AJ22&lt;&gt;"", CALCULO!AJ22&gt;0), CALCULO!AJ22, 0)</f>
        <v>0</v>
      </c>
      <c r="AK25" s="189">
        <f>+IF(AND(CALCULO!AK22&lt;&gt;"", CALCULO!AK22&gt;0), CALCULO!AK22, 0)</f>
        <v>0</v>
      </c>
      <c r="AL25" s="189">
        <f>+IF(AND(CALCULO!AL22&lt;&gt;"", CALCULO!AL22&gt;0), CALCULO!AL22, 0)</f>
        <v>0</v>
      </c>
      <c r="AM25" s="189">
        <f>+IF(AND(CALCULO!AM22&lt;&gt;"", CALCULO!AM22&gt;0), CALCULO!AM22, 0)</f>
        <v>0</v>
      </c>
      <c r="AN25" s="204">
        <f>+IF(AND(CALCULO!AN22&lt;&gt;"", CALCULO!AN22&gt;0), CALCULO!AN22, 0)</f>
        <v>0</v>
      </c>
      <c r="AO25" s="189">
        <f>+IF(AND(CALCULO!AO22&lt;&gt;"", CALCULO!AO22&gt;0), CALCULO!AO22, 0)</f>
        <v>0</v>
      </c>
      <c r="AP25" s="189">
        <f>+IF(AND(CALCULO!AP22&lt;&gt;"", CALCULO!AP22&gt;0), CALCULO!AP22, 0)</f>
        <v>0</v>
      </c>
      <c r="AQ25" s="189">
        <f>+IF(AND(CALCULO!AQ22&lt;&gt;"", CALCULO!AQ22&gt;0), CALCULO!AQ22, 0)</f>
        <v>0</v>
      </c>
      <c r="AR25" s="189">
        <f>+IF(AND(CALCULO!AT22&lt;&gt;"", CALCULO!AT22&gt;0), CALCULO!AT22, 0)</f>
        <v>0</v>
      </c>
      <c r="AS25" s="189">
        <f>+IF(AND(CALCULO!AU22&lt;&gt;"", CALCULO!AU22&gt;0), CALCULO!AU22, 0)</f>
        <v>0</v>
      </c>
      <c r="AT25" s="189">
        <f>+IF(AND(CALCULO!AR22&lt;&gt;"", CALCULO!AR22&gt;0), CALCULO!AR22, 0)</f>
        <v>0</v>
      </c>
      <c r="AU25" s="189">
        <f>+IF(AND(CALCULO!AS22&lt;&gt;"", CALCULO!AS22&gt;0), CALCULO!AS22, 0)</f>
        <v>0</v>
      </c>
      <c r="AV25" s="189">
        <f>+IF(AND(CALCULO!AW22&lt;&gt;"", CALCULO!AW22&gt;0), CALCULO!AW22, 0)</f>
        <v>0</v>
      </c>
      <c r="AW25" s="190">
        <f>+IF(AND(CALCULO!AX22&lt;&gt;"", CALCULO!AX22&gt;0), CALCULO!AX22, 0)</f>
        <v>0</v>
      </c>
      <c r="BE25" s="155" t="str">
        <f>+IF(AND(CALCULO!AV22&lt;&gt;"", CALCULO!AV22&gt;0), CALCULO!AV22, "0")</f>
        <v>0</v>
      </c>
    </row>
    <row r="26" spans="1:57" s="151" customFormat="1" ht="44.25" thickBot="1" x14ac:dyDescent="0.3">
      <c r="A26" s="440"/>
      <c r="B26" s="157" t="s">
        <v>53</v>
      </c>
      <c r="C26" s="155">
        <f t="shared" si="0"/>
        <v>3</v>
      </c>
      <c r="D26" s="155"/>
      <c r="E26" s="155" t="str">
        <f>+IF(AND(CALCULO!E23&lt;&gt;"", CALCULO!E23&gt;0), CALCULO!E23, "")</f>
        <v/>
      </c>
      <c r="F26" s="155">
        <f>+IF(AND(CALCULO!F23&lt;&gt;"", CALCULO!F23&gt;0), CALCULO!F23, 0)</f>
        <v>0</v>
      </c>
      <c r="G26" s="155">
        <f>+IF(AND(CALCULO!G23&lt;&gt;"", CALCULO!G23&gt;0), CALCULO!G23, 0)</f>
        <v>0</v>
      </c>
      <c r="H26" s="155">
        <f>+IF(AND(CALCULO!H23&lt;&gt;"", CALCULO!H23&gt;0), CALCULO!H23, 0)</f>
        <v>0</v>
      </c>
      <c r="I26" s="155">
        <f>+IF(AND(CALCULO!I23&lt;&gt;"", CALCULO!I23&gt;0), CALCULO!I23, 0)</f>
        <v>0</v>
      </c>
      <c r="J26" s="155">
        <f>+IF(AND(CALCULO!J23&lt;&gt;"", CALCULO!J23&gt;0), CALCULO!J23, 0)</f>
        <v>0</v>
      </c>
      <c r="K26" s="155">
        <f>+IF(AND(CALCULO!K23&lt;&gt;"",CALCULO!K23&gt;0),CALCULO!K23,0)</f>
        <v>0</v>
      </c>
      <c r="L26" s="155">
        <f>+IF(AND(CALCULO!L23&lt;&gt;"", CALCULO!L23&gt;0), CALCULO!L23, 0)</f>
        <v>0</v>
      </c>
      <c r="M26" s="155">
        <f>+IF(AND(CALCULO!M23&lt;&gt;"", CALCULO!M23&gt;0), CALCULO!M23, 0)</f>
        <v>0</v>
      </c>
      <c r="N26" s="155">
        <f>+IF(AND(CALCULO!N23&lt;&gt;"", CALCULO!N23&gt;0), CALCULO!N23, 0)</f>
        <v>1</v>
      </c>
      <c r="O26" s="155">
        <f>+IF(AND(CALCULO!O23&lt;&gt;"", CALCULO!O23&gt;0), CALCULO!O23, 0)</f>
        <v>0</v>
      </c>
      <c r="P26" s="155">
        <f>+IF(AND(CALCULO!P23&lt;&gt;"", CALCULO!P23&gt;0), CALCULO!P23, 0)</f>
        <v>1</v>
      </c>
      <c r="Q26" s="189">
        <f>+IF(AND(CALCULO!Q23&lt;&gt;"", CALCULO!Q23&gt;0), CALCULO!Q23, 0)</f>
        <v>0</v>
      </c>
      <c r="R26" s="189">
        <f>+IF(AND(CALCULO!R23&lt;&gt;"", CALCULO!R23&gt;0), CALCULO!R23, 0)</f>
        <v>0</v>
      </c>
      <c r="S26" s="189">
        <f>+IF(AND(CALCULO!S23&lt;&gt;"", CALCULO!S23&gt;0), CALCULO!S23, 0)</f>
        <v>0</v>
      </c>
      <c r="T26" s="189">
        <f>+IF(AND(CALCULO!T23&lt;&gt;"", CALCULO!T23&gt;0), CALCULO!T23, 0)</f>
        <v>0</v>
      </c>
      <c r="U26" s="189">
        <f>+IF(AND(CALCULO!U23&lt;&gt;"", CALCULO!U23&gt;0), CALCULO!U23, 0)</f>
        <v>0</v>
      </c>
      <c r="V26" s="189">
        <f>+IF(AND(CALCULO!V23&lt;&gt;"", CALCULO!V23&gt;0), CALCULO!V23, 0)</f>
        <v>0</v>
      </c>
      <c r="W26" s="189">
        <f>+IF(AND(CALCULO!W23&lt;&gt;"", CALCULO!W23&gt;0), CALCULO!W23, 0)</f>
        <v>0</v>
      </c>
      <c r="X26" s="189">
        <f>+IF(AND(CALCULO!X23&lt;&gt;"", CALCULO!X23&gt;0), CALCULO!X23, 0)</f>
        <v>0</v>
      </c>
      <c r="Y26" s="189">
        <f>+IF(AND(CALCULO!Y23&lt;&gt;"", CALCULO!Y23&gt;0), CALCULO!Y23, 0)</f>
        <v>0</v>
      </c>
      <c r="Z26" s="189">
        <f>+IF(AND(CALCULO!Z23&lt;&gt;"", CALCULO!Z23&gt;0), CALCULO!Z23, 0)</f>
        <v>0</v>
      </c>
      <c r="AA26" s="189">
        <f>+IF(AND(CALCULO!AA23&lt;&gt;"", CALCULO!AA23&gt;0), CALCULO!AA23, 0)</f>
        <v>0</v>
      </c>
      <c r="AB26" s="189">
        <f>+IF(AND(CALCULO!AB23&lt;&gt;"", CALCULO!AB23&gt;0), CALCULO!AB23, 0)</f>
        <v>1</v>
      </c>
      <c r="AC26" s="189">
        <f>+IF(AND(CALCULO!AC23&lt;&gt;"", CALCULO!AC23&gt;0), CALCULO!AC23, 0)</f>
        <v>0</v>
      </c>
      <c r="AD26" s="189">
        <f>+IF(AND(CALCULO!AD23&lt;&gt;"", CALCULO!AD23&gt;0), CALCULO!AD23, 0)</f>
        <v>0</v>
      </c>
      <c r="AE26" s="189">
        <f>+IF(AND(CALCULO!AE23&lt;&gt;"", CALCULO!AE23&gt;0), CALCULO!AE23, 0)</f>
        <v>0</v>
      </c>
      <c r="AF26" s="189">
        <f>+IF(AND(CALCULO!AF23&lt;&gt;"", CALCULO!AF23&gt;0), CALCULO!AF23, 0)</f>
        <v>0</v>
      </c>
      <c r="AG26" s="189">
        <f>+IF(AND(CALCULO!AG23&lt;&gt;"", CALCULO!AG23&gt;0), CALCULO!AG23, 0)</f>
        <v>0</v>
      </c>
      <c r="AH26" s="189">
        <f>+IF(AND(CALCULO!AH23&lt;&gt;"", CALCULO!AH23&gt;0), CALCULO!AH23, 0)</f>
        <v>0</v>
      </c>
      <c r="AI26" s="189">
        <f>+IF(AND(CALCULO!AI23&lt;&gt;"", CALCULO!AI23&gt;0), CALCULO!AI23, 0)</f>
        <v>0</v>
      </c>
      <c r="AJ26" s="189">
        <f>+IF(AND(CALCULO!AJ23&lt;&gt;"", CALCULO!AJ23&gt;0), CALCULO!AJ23, 0)</f>
        <v>0</v>
      </c>
      <c r="AK26" s="189">
        <f>+IF(AND(CALCULO!AK23&lt;&gt;"", CALCULO!AK23&gt;0), CALCULO!AK23, 0)</f>
        <v>0</v>
      </c>
      <c r="AL26" s="189">
        <f>+IF(AND(CALCULO!AL23&lt;&gt;"", CALCULO!AL23&gt;0), CALCULO!AL23, 0)</f>
        <v>0</v>
      </c>
      <c r="AM26" s="189">
        <f>+IF(AND(CALCULO!AM23&lt;&gt;"", CALCULO!AM23&gt;0), CALCULO!AM23, 0)</f>
        <v>0</v>
      </c>
      <c r="AN26" s="204">
        <f>+IF(AND(CALCULO!AN23&lt;&gt;"", CALCULO!AN23&gt;0), CALCULO!AN23, 0)</f>
        <v>0</v>
      </c>
      <c r="AO26" s="189">
        <f>+IF(AND(CALCULO!AO23&lt;&gt;"", CALCULO!AO23&gt;0), CALCULO!AO23, 0)</f>
        <v>0</v>
      </c>
      <c r="AP26" s="189">
        <f>+IF(AND(CALCULO!AP23&lt;&gt;"", CALCULO!AP23&gt;0), CALCULO!AP23, 0)</f>
        <v>2</v>
      </c>
      <c r="AQ26" s="189">
        <f>+IF(AND(CALCULO!AQ23&lt;&gt;"", CALCULO!AQ23&gt;0), CALCULO!AQ23, 0)</f>
        <v>0</v>
      </c>
      <c r="AR26" s="189">
        <f>+IF(AND(CALCULO!AT23&lt;&gt;"", CALCULO!AT23&gt;0), CALCULO!AT23, 0)</f>
        <v>0</v>
      </c>
      <c r="AS26" s="189">
        <f>+IF(AND(CALCULO!AU23&lt;&gt;"", CALCULO!AU23&gt;0), CALCULO!AU23, 0)</f>
        <v>0</v>
      </c>
      <c r="AT26" s="189">
        <f>+IF(AND(CALCULO!AR23&lt;&gt;"", CALCULO!AR23&gt;0), CALCULO!AR23, 0)</f>
        <v>0</v>
      </c>
      <c r="AU26" s="189">
        <f>+IF(AND(CALCULO!AS23&lt;&gt;"", CALCULO!AS23&gt;0), CALCULO!AS23, 0)</f>
        <v>0</v>
      </c>
      <c r="AV26" s="189">
        <f>+IF(AND(CALCULO!AW23&lt;&gt;"", CALCULO!AW23&gt;0), CALCULO!AW23, 0)</f>
        <v>0</v>
      </c>
      <c r="AW26" s="190">
        <f>+IF(AND(CALCULO!AX23&lt;&gt;"", CALCULO!AX23&gt;0), CALCULO!AX23, 0)</f>
        <v>0</v>
      </c>
      <c r="BE26" s="155" t="str">
        <f>+IF(AND(CALCULO!AV23&lt;&gt;"", CALCULO!AV23&gt;0), CALCULO!AV23, "0")</f>
        <v>0</v>
      </c>
    </row>
    <row r="27" spans="1:57" s="151" customFormat="1" ht="44.25" thickBot="1" x14ac:dyDescent="0.3">
      <c r="A27" s="440"/>
      <c r="B27" s="157" t="s">
        <v>54</v>
      </c>
      <c r="C27" s="155">
        <f t="shared" si="0"/>
        <v>3</v>
      </c>
      <c r="D27" s="155"/>
      <c r="E27" s="155">
        <f>+IF(AND(CALCULO!E24&lt;&gt;"", CALCULO!E24&gt;0), CALCULO!E24, "")</f>
        <v>1</v>
      </c>
      <c r="F27" s="155">
        <f>+IF(AND(CALCULO!F24&lt;&gt;"", CALCULO!F24&gt;0), CALCULO!F24, 0)</f>
        <v>0</v>
      </c>
      <c r="G27" s="155">
        <f>+IF(AND(CALCULO!G24&lt;&gt;"", CALCULO!G24&gt;0), CALCULO!G24, 0)</f>
        <v>0</v>
      </c>
      <c r="H27" s="155">
        <f>+IF(AND(CALCULO!H24&lt;&gt;"", CALCULO!H24&gt;0), CALCULO!H24, 0)</f>
        <v>0</v>
      </c>
      <c r="I27" s="155">
        <f>+IF(AND(CALCULO!I24&lt;&gt;"", CALCULO!I24&gt;0), CALCULO!I24, 0)</f>
        <v>0</v>
      </c>
      <c r="J27" s="155">
        <f>+IF(AND(CALCULO!J24&lt;&gt;"", CALCULO!J24&gt;0), CALCULO!J24, 0)</f>
        <v>0</v>
      </c>
      <c r="K27" s="155">
        <f>+IF(AND(CALCULO!K24&lt;&gt;"",CALCULO!K24&gt;0),CALCULO!K24,0)</f>
        <v>0</v>
      </c>
      <c r="L27" s="155">
        <f>+IF(AND(CALCULO!L24&lt;&gt;"", CALCULO!L24&gt;0), CALCULO!L24, 0)</f>
        <v>0</v>
      </c>
      <c r="M27" s="155">
        <f>+IF(AND(CALCULO!M24&lt;&gt;"", CALCULO!M24&gt;0), CALCULO!M24, 0)</f>
        <v>0</v>
      </c>
      <c r="N27" s="155">
        <f>+IF(AND(CALCULO!N24&lt;&gt;"", CALCULO!N24&gt;0), CALCULO!N24, 0)</f>
        <v>1</v>
      </c>
      <c r="O27" s="155">
        <f>+IF(AND(CALCULO!O24&lt;&gt;"", CALCULO!O24&gt;0), CALCULO!O24, 0)</f>
        <v>0</v>
      </c>
      <c r="P27" s="155">
        <f>+IF(AND(CALCULO!P24&lt;&gt;"", CALCULO!P24&gt;0), CALCULO!P24, 0)</f>
        <v>0</v>
      </c>
      <c r="Q27" s="189">
        <f>+IF(AND(CALCULO!Q24&lt;&gt;"", CALCULO!Q24&gt;0), CALCULO!Q24, 0)</f>
        <v>0</v>
      </c>
      <c r="R27" s="189">
        <f>+IF(AND(CALCULO!R24&lt;&gt;"", CALCULO!R24&gt;0), CALCULO!R24, 0)</f>
        <v>0</v>
      </c>
      <c r="S27" s="189">
        <f>+IF(AND(CALCULO!S24&lt;&gt;"", CALCULO!S24&gt;0), CALCULO!S24, 0)</f>
        <v>1</v>
      </c>
      <c r="T27" s="189">
        <f>+IF(AND(CALCULO!T24&lt;&gt;"", CALCULO!T24&gt;0), CALCULO!T24, 0)</f>
        <v>0</v>
      </c>
      <c r="U27" s="189">
        <f>+IF(AND(CALCULO!U24&lt;&gt;"", CALCULO!U24&gt;0), CALCULO!U24, 0)</f>
        <v>0</v>
      </c>
      <c r="V27" s="189">
        <f>+IF(AND(CALCULO!V24&lt;&gt;"", CALCULO!V24&gt;0), CALCULO!V24, 0)</f>
        <v>1</v>
      </c>
      <c r="W27" s="189">
        <f>+IF(AND(CALCULO!W24&lt;&gt;"", CALCULO!W24&gt;0), CALCULO!W24, 0)</f>
        <v>0</v>
      </c>
      <c r="X27" s="189">
        <f>+IF(AND(CALCULO!X24&lt;&gt;"", CALCULO!X24&gt;0), CALCULO!X24, 0)</f>
        <v>0</v>
      </c>
      <c r="Y27" s="189">
        <f>+IF(AND(CALCULO!Y24&lt;&gt;"", CALCULO!Y24&gt;0), CALCULO!Y24, 0)</f>
        <v>0</v>
      </c>
      <c r="Z27" s="189">
        <f>+IF(AND(CALCULO!Z24&lt;&gt;"", CALCULO!Z24&gt;0), CALCULO!Z24, 0)</f>
        <v>0</v>
      </c>
      <c r="AA27" s="189">
        <f>+IF(AND(CALCULO!AA24&lt;&gt;"", CALCULO!AA24&gt;0), CALCULO!AA24, 0)</f>
        <v>0</v>
      </c>
      <c r="AB27" s="189">
        <f>+IF(AND(CALCULO!AB24&lt;&gt;"", CALCULO!AB24&gt;0), CALCULO!AB24, 0)</f>
        <v>0</v>
      </c>
      <c r="AC27" s="189">
        <f>+IF(AND(CALCULO!AC24&lt;&gt;"", CALCULO!AC24&gt;0), CALCULO!AC24, 0)</f>
        <v>0</v>
      </c>
      <c r="AD27" s="189">
        <f>+IF(AND(CALCULO!AD24&lt;&gt;"", CALCULO!AD24&gt;0), CALCULO!AD24, 0)</f>
        <v>0</v>
      </c>
      <c r="AE27" s="189">
        <f>+IF(AND(CALCULO!AE24&lt;&gt;"", CALCULO!AE24&gt;0), CALCULO!AE24, 0)</f>
        <v>0</v>
      </c>
      <c r="AF27" s="189">
        <f>+IF(AND(CALCULO!AF24&lt;&gt;"", CALCULO!AF24&gt;0), CALCULO!AF24, 0)</f>
        <v>0</v>
      </c>
      <c r="AG27" s="189">
        <f>+IF(AND(CALCULO!AG24&lt;&gt;"", CALCULO!AG24&gt;0), CALCULO!AG24, 0)</f>
        <v>0</v>
      </c>
      <c r="AH27" s="189">
        <f>+IF(AND(CALCULO!AH24&lt;&gt;"", CALCULO!AH24&gt;0), CALCULO!AH24, 0)</f>
        <v>0</v>
      </c>
      <c r="AI27" s="189">
        <f>+IF(AND(CALCULO!AI24&lt;&gt;"", CALCULO!AI24&gt;0), CALCULO!AI24, 0)</f>
        <v>0</v>
      </c>
      <c r="AJ27" s="189">
        <f>+IF(AND(CALCULO!AJ24&lt;&gt;"", CALCULO!AJ24&gt;0), CALCULO!AJ24, 0)</f>
        <v>0</v>
      </c>
      <c r="AK27" s="189">
        <f>+IF(AND(CALCULO!AK24&lt;&gt;"", CALCULO!AK24&gt;0), CALCULO!AK24, 0)</f>
        <v>0</v>
      </c>
      <c r="AL27" s="189">
        <f>+IF(AND(CALCULO!AL24&lt;&gt;"", CALCULO!AL24&gt;0), CALCULO!AL24, 0)</f>
        <v>0</v>
      </c>
      <c r="AM27" s="189">
        <f>+IF(AND(CALCULO!AM24&lt;&gt;"", CALCULO!AM24&gt;0), CALCULO!AM24, 0)</f>
        <v>0</v>
      </c>
      <c r="AN27" s="204">
        <f>+IF(AND(CALCULO!AN24&lt;&gt;"", CALCULO!AN24&gt;0), CALCULO!AN24, 0)</f>
        <v>0</v>
      </c>
      <c r="AO27" s="189">
        <f>+IF(AND(CALCULO!AO24&lt;&gt;"", CALCULO!AO24&gt;0), CALCULO!AO24, 0)</f>
        <v>0</v>
      </c>
      <c r="AP27" s="189">
        <f>+IF(AND(CALCULO!AP24&lt;&gt;"", CALCULO!AP24&gt;0), CALCULO!AP24, 0)</f>
        <v>0</v>
      </c>
      <c r="AQ27" s="189">
        <f>+IF(AND(CALCULO!AQ24&lt;&gt;"", CALCULO!AQ24&gt;0), CALCULO!AQ24, 0)</f>
        <v>0</v>
      </c>
      <c r="AR27" s="189">
        <f>+IF(AND(CALCULO!AT24&lt;&gt;"", CALCULO!AT24&gt;0), CALCULO!AT24, 0)</f>
        <v>0</v>
      </c>
      <c r="AS27" s="189">
        <f>+IF(AND(CALCULO!AU24&lt;&gt;"", CALCULO!AU24&gt;0), CALCULO!AU24, 0)</f>
        <v>0</v>
      </c>
      <c r="AT27" s="189">
        <f>+IF(AND(CALCULO!AR24&lt;&gt;"", CALCULO!AR24&gt;0), CALCULO!AR24, 0)</f>
        <v>0</v>
      </c>
      <c r="AU27" s="189">
        <f>+IF(AND(CALCULO!AS24&lt;&gt;"", CALCULO!AS24&gt;0), CALCULO!AS24, 0)</f>
        <v>0</v>
      </c>
      <c r="AV27" s="189">
        <f>+IF(AND(CALCULO!AW24&lt;&gt;"", CALCULO!AW24&gt;0), CALCULO!AW24, 0)</f>
        <v>0</v>
      </c>
      <c r="AW27" s="190">
        <f>+IF(AND(CALCULO!AX24&lt;&gt;"", CALCULO!AX24&gt;0), CALCULO!AX24, 0)</f>
        <v>0</v>
      </c>
      <c r="BE27" s="155" t="str">
        <f>+IF(AND(CALCULO!AV24&lt;&gt;"", CALCULO!AV24&gt;0), CALCULO!AV24, "0")</f>
        <v>0</v>
      </c>
    </row>
    <row r="28" spans="1:57" s="151" customFormat="1" ht="33.75" thickBot="1" x14ac:dyDescent="0.3">
      <c r="A28" s="442"/>
      <c r="B28" s="199" t="s">
        <v>55</v>
      </c>
      <c r="C28" s="193">
        <f t="shared" si="0"/>
        <v>2</v>
      </c>
      <c r="D28" s="193"/>
      <c r="E28" s="193" t="str">
        <f>+IF(AND(CALCULO!E25&lt;&gt;"", CALCULO!E25&gt;0), CALCULO!E25, "")</f>
        <v/>
      </c>
      <c r="F28" s="193">
        <f>+IF(AND(CALCULO!F25&lt;&gt;"", CALCULO!F25&gt;0), CALCULO!F25, 0)</f>
        <v>0</v>
      </c>
      <c r="G28" s="193">
        <f>+IF(AND(CALCULO!G25&lt;&gt;"", CALCULO!G25&gt;0), CALCULO!G25, 0)</f>
        <v>0</v>
      </c>
      <c r="H28" s="193">
        <f>+IF(AND(CALCULO!H25&lt;&gt;"", CALCULO!H25&gt;0), CALCULO!H25, 0)</f>
        <v>0</v>
      </c>
      <c r="I28" s="193">
        <f>+IF(AND(CALCULO!I25&lt;&gt;"", CALCULO!I25&gt;0), CALCULO!I25, 0)</f>
        <v>0</v>
      </c>
      <c r="J28" s="193">
        <f>+IF(AND(CALCULO!J25&lt;&gt;"", CALCULO!J25&gt;0), CALCULO!J25, 0)</f>
        <v>0</v>
      </c>
      <c r="K28" s="193">
        <f>+IF(AND(CALCULO!K25&lt;&gt;"",CALCULO!K25&gt;0),CALCULO!K25,0)</f>
        <v>0</v>
      </c>
      <c r="L28" s="193">
        <f>+IF(AND(CALCULO!L25&lt;&gt;"", CALCULO!L25&gt;0), CALCULO!L25, 0)</f>
        <v>0</v>
      </c>
      <c r="M28" s="193">
        <f>+IF(AND(CALCULO!M25&lt;&gt;"", CALCULO!M25&gt;0), CALCULO!M25, 0)</f>
        <v>0</v>
      </c>
      <c r="N28" s="193">
        <f>+IF(AND(CALCULO!N25&lt;&gt;"", CALCULO!N25&gt;0), CALCULO!N25, 0)</f>
        <v>1</v>
      </c>
      <c r="O28" s="193">
        <f>+IF(AND(CALCULO!O25&lt;&gt;"", CALCULO!O25&gt;0), CALCULO!O25, 0)</f>
        <v>0</v>
      </c>
      <c r="P28" s="193">
        <f>+IF(AND(CALCULO!P25&lt;&gt;"", CALCULO!P25&gt;0), CALCULO!P25, 0)</f>
        <v>0</v>
      </c>
      <c r="Q28" s="189">
        <f>+IF(AND(CALCULO!Q25&lt;&gt;"", CALCULO!Q25&gt;0), CALCULO!Q25, 0)</f>
        <v>0</v>
      </c>
      <c r="R28" s="189">
        <f>+IF(AND(CALCULO!R25&lt;&gt;"", CALCULO!R25&gt;0), CALCULO!R25, 0)</f>
        <v>0</v>
      </c>
      <c r="S28" s="189">
        <f>+IF(AND(CALCULO!S25&lt;&gt;"", CALCULO!S25&gt;0), CALCULO!S25, 0)</f>
        <v>0</v>
      </c>
      <c r="T28" s="189">
        <f>+IF(AND(CALCULO!T25&lt;&gt;"", CALCULO!T25&gt;0), CALCULO!T25, 0)</f>
        <v>0</v>
      </c>
      <c r="U28" s="189">
        <f>+IF(AND(CALCULO!U25&lt;&gt;"", CALCULO!U25&gt;0), CALCULO!U25, 0)</f>
        <v>0</v>
      </c>
      <c r="V28" s="189">
        <f>+IF(AND(CALCULO!V25&lt;&gt;"", CALCULO!V25&gt;0), CALCULO!V25, 0)</f>
        <v>0</v>
      </c>
      <c r="W28" s="189">
        <f>+IF(AND(CALCULO!W25&lt;&gt;"", CALCULO!W25&gt;0), CALCULO!W25, 0)</f>
        <v>0</v>
      </c>
      <c r="X28" s="189">
        <f>+IF(AND(CALCULO!X25&lt;&gt;"", CALCULO!X25&gt;0), CALCULO!X25, 0)</f>
        <v>0</v>
      </c>
      <c r="Y28" s="189">
        <f>+IF(AND(CALCULO!Y25&lt;&gt;"", CALCULO!Y25&gt;0), CALCULO!Y25, 0)</f>
        <v>0</v>
      </c>
      <c r="Z28" s="189">
        <f>+IF(AND(CALCULO!Z25&lt;&gt;"", CALCULO!Z25&gt;0), CALCULO!Z25, 0)</f>
        <v>0</v>
      </c>
      <c r="AA28" s="189">
        <f>+IF(AND(CALCULO!AA25&lt;&gt;"", CALCULO!AA25&gt;0), CALCULO!AA25, 0)</f>
        <v>1</v>
      </c>
      <c r="AB28" s="189">
        <f>+IF(AND(CALCULO!AB25&lt;&gt;"", CALCULO!AB25&gt;0), CALCULO!AB25, 0)</f>
        <v>0</v>
      </c>
      <c r="AC28" s="189">
        <f>+IF(AND(CALCULO!AC25&lt;&gt;"", CALCULO!AC25&gt;0), CALCULO!AC25, 0)</f>
        <v>0</v>
      </c>
      <c r="AD28" s="189">
        <f>+IF(AND(CALCULO!AD25&lt;&gt;"", CALCULO!AD25&gt;0), CALCULO!AD25, 0)</f>
        <v>0</v>
      </c>
      <c r="AE28" s="189">
        <f>+IF(AND(CALCULO!AE25&lt;&gt;"", CALCULO!AE25&gt;0), CALCULO!AE25, 0)</f>
        <v>0</v>
      </c>
      <c r="AF28" s="189">
        <f>+IF(AND(CALCULO!AF25&lt;&gt;"", CALCULO!AF25&gt;0), CALCULO!AF25, 0)</f>
        <v>0</v>
      </c>
      <c r="AG28" s="189">
        <f>+IF(AND(CALCULO!AG25&lt;&gt;"", CALCULO!AG25&gt;0), CALCULO!AG25, 0)</f>
        <v>0</v>
      </c>
      <c r="AH28" s="189">
        <f>+IF(AND(CALCULO!AH25&lt;&gt;"", CALCULO!AH25&gt;0), CALCULO!AH25, 0)</f>
        <v>0</v>
      </c>
      <c r="AI28" s="189">
        <f>+IF(AND(CALCULO!AI25&lt;&gt;"", CALCULO!AI25&gt;0), CALCULO!AI25, 0)</f>
        <v>0</v>
      </c>
      <c r="AJ28" s="189">
        <f>+IF(AND(CALCULO!AJ25&lt;&gt;"", CALCULO!AJ25&gt;0), CALCULO!AJ25, 0)</f>
        <v>0</v>
      </c>
      <c r="AK28" s="189">
        <f>+IF(AND(CALCULO!AK25&lt;&gt;"", CALCULO!AK25&gt;0), CALCULO!AK25, 0)</f>
        <v>0</v>
      </c>
      <c r="AL28" s="189">
        <f>+IF(AND(CALCULO!AL25&lt;&gt;"", CALCULO!AL25&gt;0), CALCULO!AL25, 0)</f>
        <v>0</v>
      </c>
      <c r="AM28" s="189">
        <f>+IF(AND(CALCULO!AM25&lt;&gt;"", CALCULO!AM25&gt;0), CALCULO!AM25, 0)</f>
        <v>0</v>
      </c>
      <c r="AN28" s="204">
        <f>+IF(AND(CALCULO!AN25&lt;&gt;"", CALCULO!AN25&gt;0), CALCULO!AN25, 0)</f>
        <v>0</v>
      </c>
      <c r="AO28" s="189">
        <f>+IF(AND(CALCULO!AO25&lt;&gt;"", CALCULO!AO25&gt;0), CALCULO!AO25, 0)</f>
        <v>0</v>
      </c>
      <c r="AP28" s="189">
        <f>+IF(AND(CALCULO!AP25&lt;&gt;"", CALCULO!AP25&gt;0), CALCULO!AP25, 0)</f>
        <v>0</v>
      </c>
      <c r="AQ28" s="189">
        <f>+IF(AND(CALCULO!AQ25&lt;&gt;"", CALCULO!AQ25&gt;0), CALCULO!AQ25, 0)</f>
        <v>0</v>
      </c>
      <c r="AR28" s="189">
        <f>+IF(AND(CALCULO!AT25&lt;&gt;"", CALCULO!AT25&gt;0), CALCULO!AT25, 0)</f>
        <v>0</v>
      </c>
      <c r="AS28" s="189">
        <f>+IF(AND(CALCULO!AU25&lt;&gt;"", CALCULO!AU25&gt;0), CALCULO!AU25, 0)</f>
        <v>0</v>
      </c>
      <c r="AT28" s="189">
        <f>+IF(AND(CALCULO!AR25&lt;&gt;"", CALCULO!AR25&gt;0), CALCULO!AR25, 0)</f>
        <v>0</v>
      </c>
      <c r="AU28" s="189">
        <f>+IF(AND(CALCULO!AS25&lt;&gt;"", CALCULO!AS25&gt;0), CALCULO!AS25, 0)</f>
        <v>0</v>
      </c>
      <c r="AV28" s="189">
        <f>+IF(AND(CALCULO!AW25&lt;&gt;"", CALCULO!AW25&gt;0), CALCULO!AW25, 0)</f>
        <v>0</v>
      </c>
      <c r="AW28" s="190">
        <f>+IF(AND(CALCULO!AX25&lt;&gt;"", CALCULO!AX25&gt;0), CALCULO!AX25, 0)</f>
        <v>0</v>
      </c>
      <c r="BE28" s="155" t="str">
        <f>+IF(AND(CALCULO!AV25&lt;&gt;"", CALCULO!AV25&gt;0), CALCULO!AV25, "0")</f>
        <v>0</v>
      </c>
    </row>
    <row r="29" spans="1:57" s="151" customFormat="1" ht="32.25" thickBot="1" x14ac:dyDescent="0.3">
      <c r="A29" s="439" t="s">
        <v>56</v>
      </c>
      <c r="B29" s="200" t="s">
        <v>57</v>
      </c>
      <c r="C29" s="189">
        <f t="shared" si="0"/>
        <v>14</v>
      </c>
      <c r="D29" s="189"/>
      <c r="E29" s="189">
        <f>+IF(AND(CALCULO!E26&lt;&gt;"", CALCULO!E26&gt;0), CALCULO!E26, "")</f>
        <v>4</v>
      </c>
      <c r="F29" s="189">
        <f>+IF(AND(CALCULO!F26&lt;&gt;"", CALCULO!F26&gt;0), CALCULO!F26, 0)</f>
        <v>0</v>
      </c>
      <c r="G29" s="189">
        <f>+IF(AND(CALCULO!G26&lt;&gt;"", CALCULO!G26&gt;0), CALCULO!G26, 0)</f>
        <v>0</v>
      </c>
      <c r="H29" s="189">
        <f>+IF(AND(CALCULO!H26&lt;&gt;"", CALCULO!H26&gt;0), CALCULO!H26, 0)</f>
        <v>2</v>
      </c>
      <c r="I29" s="189">
        <f>+IF(AND(CALCULO!I26&lt;&gt;"", CALCULO!I26&gt;0), CALCULO!I26, 0)</f>
        <v>0</v>
      </c>
      <c r="J29" s="189">
        <f>+IF(AND(CALCULO!J26&lt;&gt;"", CALCULO!J26&gt;0), CALCULO!J26, 0)</f>
        <v>0</v>
      </c>
      <c r="K29" s="189">
        <f>+IF(AND(CALCULO!K26&lt;&gt;"",CALCULO!K26&gt;0),CALCULO!K26,0)</f>
        <v>1</v>
      </c>
      <c r="L29" s="189">
        <f>+IF(AND(CALCULO!L26&lt;&gt;"", CALCULO!L26&gt;0), CALCULO!L26, 0)</f>
        <v>0</v>
      </c>
      <c r="M29" s="189">
        <f>+IF(AND(CALCULO!M26&lt;&gt;"", CALCULO!M26&gt;0), CALCULO!M26, 0)</f>
        <v>1</v>
      </c>
      <c r="N29" s="189">
        <f>+IF(AND(CALCULO!N26&lt;&gt;"", CALCULO!N26&gt;0), CALCULO!N26, 0)+Tabla1[[#This Row],[Hombres12]]+Tabla1[[#This Row],[Hombres14]]+Tabla1[[#This Row],[Hombres16]]+Tabla1[[#This Row],[Hombres18]]+Tabla1[[#This Row],[Hombres20]]+Tabla1[[#This Row],[Hombres22]]+Tabla1[[#This Row],[Hombres24]]+Tabla1[[#This Row],[Hombres26]]+Tabla1[[#This Row],[Hombres ]]+Tabla1[[#This Row],[Hombres 29]]+Tabla1[[#This Row],[Hombres 31]]+Tabla1[[#This Row],[Hombres33]]</f>
        <v>2</v>
      </c>
      <c r="O29" s="189">
        <f>+IF(AND(CALCULO!O26&lt;&gt;"", CALCULO!O26&gt;0), CALCULO!O26, 0)+Tabla1[[#This Row],[Mujeres13]]+Tabla1[[#This Row],[Mujeres15]]+Tabla1[[#This Row],[Mujeres17]]+Tabla1[[#This Row],[Mujeres19]]+Tabla1[[#This Row],[Mujeres21]]+Tabla1[[#This Row],[Mujeres23]]+Tabla1[[#This Row],[Mujeres25]]+Tabla1[[#This Row],[Mujeres27]]+Tabla1[[#This Row],[Mujeres28]]+Tabla1[[#This Row],[Mujeres30]]+Tabla1[[#This Row],[Mujeres32]]+Tabla1[[#This Row],[Mujeres34]]</f>
        <v>3</v>
      </c>
      <c r="P29" s="275">
        <f>+IF(AND(CALCULO!P26&lt;&gt;"", CALCULO!P26&gt;0), CALCULO!P26, 0)</f>
        <v>0</v>
      </c>
      <c r="Q29" s="275">
        <f>+IF(AND(CALCULO!Q26&lt;&gt;"", CALCULO!Q26&gt;0), CALCULO!Q26, 0)</f>
        <v>2</v>
      </c>
      <c r="R29" s="275">
        <f>+IF(AND(CALCULO!R26&lt;&gt;"", CALCULO!R26&gt;0), CALCULO!R26, 0)</f>
        <v>1</v>
      </c>
      <c r="S29" s="275">
        <f>+IF(AND(CALCULO!S26&lt;&gt;"", CALCULO!S26&gt;0), CALCULO!S26, 0)</f>
        <v>0</v>
      </c>
      <c r="T29" s="275">
        <f>+IF(AND(CALCULO!T26&lt;&gt;"", CALCULO!T26&gt;0), CALCULO!T26, 0)</f>
        <v>1</v>
      </c>
      <c r="U29" s="275">
        <f>+IF(AND(CALCULO!U26&lt;&gt;"", CALCULO!U26&gt;0), CALCULO!U26, 0)</f>
        <v>0</v>
      </c>
      <c r="V29" s="275">
        <f>+IF(AND(CALCULO!V26&lt;&gt;"", CALCULO!V26&gt;0), CALCULO!V26, 0)</f>
        <v>0</v>
      </c>
      <c r="W29" s="275">
        <f>+IF(AND(CALCULO!W26&lt;&gt;"", CALCULO!W26&gt;0), CALCULO!W26, 0)</f>
        <v>0</v>
      </c>
      <c r="X29" s="275">
        <f>+IF(AND(CALCULO!X26&lt;&gt;"", CALCULO!X26&gt;0), CALCULO!X26, 0)</f>
        <v>0</v>
      </c>
      <c r="Y29" s="275">
        <f>+IF(AND(CALCULO!Y26&lt;&gt;"", CALCULO!Y26&gt;0), CALCULO!Y26, 0)</f>
        <v>1</v>
      </c>
      <c r="Z29" s="275">
        <f>+IF(AND(CALCULO!Z26&lt;&gt;"", CALCULO!Z26&gt;0), CALCULO!Z26, 0)</f>
        <v>0</v>
      </c>
      <c r="AA29" s="275">
        <f>+IF(AND(CALCULO!AA26&lt;&gt;"", CALCULO!AA26&gt;0), CALCULO!AA26, 0)</f>
        <v>0</v>
      </c>
      <c r="AB29" s="275">
        <f>+IF(AND(CALCULO!AB26&lt;&gt;"", CALCULO!AB26&gt;0), CALCULO!AB26, 0)</f>
        <v>0</v>
      </c>
      <c r="AC29" s="275">
        <f>+IF(AND(CALCULO!AC26&lt;&gt;"", CALCULO!AC26&gt;0), CALCULO!AC26, 0)</f>
        <v>0</v>
      </c>
      <c r="AD29" s="275">
        <f>+IF(AND(CALCULO!AD26&lt;&gt;"", CALCULO!AD26&gt;0), CALCULO!AD26, 0)</f>
        <v>0</v>
      </c>
      <c r="AE29" s="275">
        <f>+IF(AND(CALCULO!AE26&lt;&gt;"", CALCULO!AE26&gt;0), CALCULO!AE26, 0)</f>
        <v>0</v>
      </c>
      <c r="AF29" s="275">
        <f>+IF(AND(CALCULO!AF26&lt;&gt;"", CALCULO!AF26&gt;0), CALCULO!AF26, 0)</f>
        <v>0</v>
      </c>
      <c r="AG29" s="275">
        <f>+IF(AND(CALCULO!AG26&lt;&gt;"", CALCULO!AG26&gt;0), CALCULO!AG26, 0)</f>
        <v>0</v>
      </c>
      <c r="AH29" s="275">
        <f>+IF(AND(CALCULO!AH26&lt;&gt;"", CALCULO!AH26&gt;0), CALCULO!AH26, 0)</f>
        <v>0</v>
      </c>
      <c r="AI29" s="275">
        <f>+IF(AND(CALCULO!AI26&lt;&gt;"", CALCULO!AI26&gt;0), CALCULO!AI26, 0)</f>
        <v>0</v>
      </c>
      <c r="AJ29" s="275">
        <f>+IF(AND(CALCULO!AJ26&lt;&gt;"", CALCULO!AJ26&gt;0), CALCULO!AJ26, 0)</f>
        <v>0</v>
      </c>
      <c r="AK29" s="275">
        <f>+IF(AND(CALCULO!AK26&lt;&gt;"", CALCULO!AK26&gt;0), CALCULO!AK26, 0)</f>
        <v>0</v>
      </c>
      <c r="AL29" s="275">
        <f>+IF(AND(CALCULO!AL26&lt;&gt;"", CALCULO!AL26&gt;0), CALCULO!AL26, 0)</f>
        <v>0</v>
      </c>
      <c r="AM29" s="275">
        <f>+IF(AND(CALCULO!AM26&lt;&gt;"", CALCULO!AM26&gt;0), CALCULO!AM26, 0)</f>
        <v>0</v>
      </c>
      <c r="AN29" s="204">
        <f>+IF(AND(CALCULO!AN26&lt;&gt;"", CALCULO!AN26&gt;0), CALCULO!AN26, 0)</f>
        <v>0</v>
      </c>
      <c r="AO29" s="275">
        <f>+IF(AND(CALCULO!AO26&lt;&gt;"", CALCULO!AO26&gt;0), CALCULO!AO26, 0)</f>
        <v>0</v>
      </c>
      <c r="AP29" s="189">
        <f>+IF(AND(CALCULO!AP26&lt;&gt;"", CALCULO!AP26&gt;0), CALCULO!AP26, 0)</f>
        <v>0</v>
      </c>
      <c r="AQ29" s="189">
        <f>+IF(AND(CALCULO!AQ26&lt;&gt;"", CALCULO!AQ26&gt;0), CALCULO!AQ26, 0)</f>
        <v>0</v>
      </c>
      <c r="AR29" s="189">
        <f>+IF(AND(CALCULO!AT26&lt;&gt;"", CALCULO!AT26&gt;0), CALCULO!AT26, 0)</f>
        <v>0</v>
      </c>
      <c r="AS29" s="189">
        <f>+IF(AND(CALCULO!AU26&lt;&gt;"", CALCULO!AU26&gt;0), CALCULO!AU26, 0)</f>
        <v>1</v>
      </c>
      <c r="AT29" s="189">
        <f>+IF(AND(CALCULO!AR26&lt;&gt;"", CALCULO!AR26&gt;0), CALCULO!AR26, 0)</f>
        <v>0</v>
      </c>
      <c r="AU29" s="189">
        <f>+IF(AND(CALCULO!AS26&lt;&gt;"", CALCULO!AS26&gt;0), CALCULO!AS26, 0)</f>
        <v>0</v>
      </c>
      <c r="AV29" s="189">
        <f>+IF(AND(CALCULO!AW26&lt;&gt;"", CALCULO!AW26&gt;0), CALCULO!AW26, 0)</f>
        <v>0</v>
      </c>
      <c r="AW29" s="190">
        <f>+IF(AND(CALCULO!AX26&lt;&gt;"", CALCULO!AX26&gt;0), CALCULO!AX26, 0)</f>
        <v>0</v>
      </c>
      <c r="BE29" s="155" t="str">
        <f>+IF(AND(CALCULO!AV26&lt;&gt;"", CALCULO!AV26&gt;0), CALCULO!AV26, "0")</f>
        <v>0</v>
      </c>
    </row>
    <row r="30" spans="1:57" s="151" customFormat="1" ht="63.75" thickBot="1" x14ac:dyDescent="0.3">
      <c r="A30" s="443"/>
      <c r="B30" s="158" t="s">
        <v>58</v>
      </c>
      <c r="C30" s="155">
        <f t="shared" si="0"/>
        <v>1</v>
      </c>
      <c r="D30" s="155"/>
      <c r="E30" s="155">
        <f>+IF(AND(CALCULO!E27&lt;&gt;"", CALCULO!E27&gt;0), CALCULO!E27, "")</f>
        <v>1</v>
      </c>
      <c r="F30" s="155">
        <f>+IF(AND(CALCULO!F27&lt;&gt;"", CALCULO!F27&gt;0), CALCULO!F27, 0)</f>
        <v>0</v>
      </c>
      <c r="G30" s="155">
        <f>+IF(AND(CALCULO!G27&lt;&gt;"", CALCULO!G27&gt;0), CALCULO!G27, 0)</f>
        <v>0</v>
      </c>
      <c r="H30" s="155">
        <f>+IF(AND(CALCULO!H27&lt;&gt;"", CALCULO!H27&gt;0), CALCULO!H27, 0)</f>
        <v>0</v>
      </c>
      <c r="I30" s="155">
        <f>+IF(AND(CALCULO!I27&lt;&gt;"", CALCULO!I27&gt;0), CALCULO!I27, 0)</f>
        <v>0</v>
      </c>
      <c r="J30" s="155">
        <f>+IF(AND(CALCULO!J27&lt;&gt;"", CALCULO!J27&gt;0), CALCULO!J27, 0)</f>
        <v>0</v>
      </c>
      <c r="K30" s="155">
        <f>+IF(AND(CALCULO!K27&lt;&gt;"",CALCULO!K27&gt;0),CALCULO!K27,0)</f>
        <v>1</v>
      </c>
      <c r="L30" s="155">
        <f>+IF(AND(CALCULO!L27&lt;&gt;"", CALCULO!L27&gt;0), CALCULO!L27, 0)</f>
        <v>0</v>
      </c>
      <c r="M30" s="155">
        <f>+IF(AND(CALCULO!M27&lt;&gt;"", CALCULO!M27&gt;0), CALCULO!M27, 0)</f>
        <v>0</v>
      </c>
      <c r="N30" s="155">
        <f>+IF(AND(CALCULO!N27&lt;&gt;"", CALCULO!N27&gt;0), CALCULO!N27, 0)</f>
        <v>0</v>
      </c>
      <c r="O30" s="155">
        <f>+IF(AND(CALCULO!O27&lt;&gt;"", CALCULO!O27&gt;0), CALCULO!O27, 0)</f>
        <v>0</v>
      </c>
      <c r="P30" s="277">
        <f>+IF(AND(CALCULO!P27&lt;&gt;"", CALCULO!P27&gt;0), CALCULO!P27, 0)</f>
        <v>0</v>
      </c>
      <c r="Q30" s="275">
        <f>+IF(AND(CALCULO!Q27&lt;&gt;"", CALCULO!Q27&gt;0), CALCULO!Q27, 0)</f>
        <v>0</v>
      </c>
      <c r="R30" s="275">
        <f>+IF(AND(CALCULO!R27&lt;&gt;"", CALCULO!R27&gt;0), CALCULO!R27, 0)</f>
        <v>0</v>
      </c>
      <c r="S30" s="275">
        <f>+IF(AND(CALCULO!S27&lt;&gt;"", CALCULO!S27&gt;0), CALCULO!S27, 0)</f>
        <v>0</v>
      </c>
      <c r="T30" s="275">
        <f>+IF(AND(CALCULO!T27&lt;&gt;"", CALCULO!T27&gt;0), CALCULO!T27, 0)</f>
        <v>0</v>
      </c>
      <c r="U30" s="275">
        <f>+IF(AND(CALCULO!U27&lt;&gt;"", CALCULO!U27&gt;0), CALCULO!U27, 0)</f>
        <v>0</v>
      </c>
      <c r="V30" s="275">
        <f>+IF(AND(CALCULO!V27&lt;&gt;"", CALCULO!V27&gt;0), CALCULO!V27, 0)</f>
        <v>0</v>
      </c>
      <c r="W30" s="275">
        <f>+IF(AND(CALCULO!W27&lt;&gt;"", CALCULO!W27&gt;0), CALCULO!W27, 0)</f>
        <v>0</v>
      </c>
      <c r="X30" s="275">
        <f>+IF(AND(CALCULO!X27&lt;&gt;"", CALCULO!X27&gt;0), CALCULO!X27, 0)</f>
        <v>0</v>
      </c>
      <c r="Y30" s="275">
        <f>+IF(AND(CALCULO!Y27&lt;&gt;"", CALCULO!Y27&gt;0), CALCULO!Y27, 0)</f>
        <v>0</v>
      </c>
      <c r="Z30" s="275">
        <f>+IF(AND(CALCULO!Z27&lt;&gt;"", CALCULO!Z27&gt;0), CALCULO!Z27, 0)</f>
        <v>0</v>
      </c>
      <c r="AA30" s="275">
        <f>+IF(AND(CALCULO!AA27&lt;&gt;"", CALCULO!AA27&gt;0), CALCULO!AA27, 0)</f>
        <v>0</v>
      </c>
      <c r="AB30" s="275">
        <f>+IF(AND(CALCULO!AB27&lt;&gt;"", CALCULO!AB27&gt;0), CALCULO!AB27, 0)</f>
        <v>0</v>
      </c>
      <c r="AC30" s="275">
        <f>+IF(AND(CALCULO!AC27&lt;&gt;"", CALCULO!AC27&gt;0), CALCULO!AC27, 0)</f>
        <v>0</v>
      </c>
      <c r="AD30" s="275">
        <f>+IF(AND(CALCULO!AD27&lt;&gt;"", CALCULO!AD27&gt;0), CALCULO!AD27, 0)</f>
        <v>0</v>
      </c>
      <c r="AE30" s="275">
        <f>+IF(AND(CALCULO!AE27&lt;&gt;"", CALCULO!AE27&gt;0), CALCULO!AE27, 0)</f>
        <v>0</v>
      </c>
      <c r="AF30" s="275">
        <f>+IF(AND(CALCULO!AF27&lt;&gt;"", CALCULO!AF27&gt;0), CALCULO!AF27, 0)</f>
        <v>0</v>
      </c>
      <c r="AG30" s="275">
        <f>+IF(AND(CALCULO!AG27&lt;&gt;"", CALCULO!AG27&gt;0), CALCULO!AG27, 0)</f>
        <v>0</v>
      </c>
      <c r="AH30" s="275">
        <f>+IF(AND(CALCULO!AH27&lt;&gt;"", CALCULO!AH27&gt;0), CALCULO!AH27, 0)</f>
        <v>0</v>
      </c>
      <c r="AI30" s="275">
        <f>+IF(AND(CALCULO!AI27&lt;&gt;"", CALCULO!AI27&gt;0), CALCULO!AI27, 0)</f>
        <v>0</v>
      </c>
      <c r="AJ30" s="275">
        <f>+IF(AND(CALCULO!AJ27&lt;&gt;"", CALCULO!AJ27&gt;0), CALCULO!AJ27, 0)</f>
        <v>0</v>
      </c>
      <c r="AK30" s="275">
        <f>+IF(AND(CALCULO!AK27&lt;&gt;"", CALCULO!AK27&gt;0), CALCULO!AK27, 0)</f>
        <v>0</v>
      </c>
      <c r="AL30" s="275">
        <f>+IF(AND(CALCULO!AL27&lt;&gt;"", CALCULO!AL27&gt;0), CALCULO!AL27, 0)</f>
        <v>0</v>
      </c>
      <c r="AM30" s="275">
        <f>+IF(AND(CALCULO!AM27&lt;&gt;"", CALCULO!AM27&gt;0), CALCULO!AM27, 0)</f>
        <v>0</v>
      </c>
      <c r="AN30" s="204">
        <f>+IF(AND(CALCULO!AN27&lt;&gt;"", CALCULO!AN27&gt;0), CALCULO!AN27, 0)</f>
        <v>0</v>
      </c>
      <c r="AO30" s="275">
        <f>+IF(AND(CALCULO!AO27&lt;&gt;"", CALCULO!AO27&gt;0), CALCULO!AO27, 0)</f>
        <v>0</v>
      </c>
      <c r="AP30" s="189">
        <f>+IF(AND(CALCULO!AP27&lt;&gt;"", CALCULO!AP27&gt;0), CALCULO!AP27, 0)</f>
        <v>0</v>
      </c>
      <c r="AQ30" s="189">
        <f>+IF(AND(CALCULO!AQ27&lt;&gt;"", CALCULO!AQ27&gt;0), CALCULO!AQ27, 0)</f>
        <v>0</v>
      </c>
      <c r="AR30" s="189">
        <f>+IF(AND(CALCULO!AT27&lt;&gt;"", CALCULO!AT27&gt;0), CALCULO!AT27, 0)</f>
        <v>0</v>
      </c>
      <c r="AS30" s="189">
        <f>+IF(AND(CALCULO!AU27&lt;&gt;"", CALCULO!AU27&gt;0), CALCULO!AU27, 0)</f>
        <v>0</v>
      </c>
      <c r="AT30" s="189">
        <f>+IF(AND(CALCULO!AR27&lt;&gt;"", CALCULO!AR27&gt;0), CALCULO!AR27, 0)</f>
        <v>0</v>
      </c>
      <c r="AU30" s="189">
        <f>+IF(AND(CALCULO!AS27&lt;&gt;"", CALCULO!AS27&gt;0), CALCULO!AS27, 0)</f>
        <v>0</v>
      </c>
      <c r="AV30" s="189">
        <f>+IF(AND(CALCULO!AW27&lt;&gt;"", CALCULO!AW27&gt;0), CALCULO!AW27, 0)</f>
        <v>0</v>
      </c>
      <c r="AW30" s="190">
        <f>+IF(AND(CALCULO!AX27&lt;&gt;"", CALCULO!AX27&gt;0), CALCULO!AX27, 0)</f>
        <v>0</v>
      </c>
      <c r="BE30" s="155" t="str">
        <f>+IF(AND(CALCULO!AV27&lt;&gt;"", CALCULO!AV27&gt;0), CALCULO!AV27, "0")</f>
        <v>0</v>
      </c>
    </row>
    <row r="31" spans="1:57" s="151" customFormat="1" ht="74.25" thickBot="1" x14ac:dyDescent="0.3">
      <c r="A31" s="443"/>
      <c r="B31" s="158" t="s">
        <v>59</v>
      </c>
      <c r="C31" s="155">
        <f t="shared" si="0"/>
        <v>0</v>
      </c>
      <c r="D31" s="155"/>
      <c r="E31" s="155" t="str">
        <f>+IF(AND(CALCULO!E28&lt;&gt;"", CALCULO!E28&gt;0), CALCULO!E28, "")</f>
        <v/>
      </c>
      <c r="F31" s="155">
        <f>+IF(AND(CALCULO!F28&lt;&gt;"", CALCULO!F28&gt;0), CALCULO!F28, 0)</f>
        <v>0</v>
      </c>
      <c r="G31" s="155">
        <f>+IF(AND(CALCULO!G28&lt;&gt;"", CALCULO!G28&gt;0), CALCULO!G28, 0)</f>
        <v>0</v>
      </c>
      <c r="H31" s="155">
        <f>+IF(AND(CALCULO!H28&lt;&gt;"", CALCULO!H28&gt;0), CALCULO!H28, 0)</f>
        <v>0</v>
      </c>
      <c r="I31" s="155">
        <f>+IF(AND(CALCULO!I28&lt;&gt;"", CALCULO!I28&gt;0), CALCULO!I28, 0)</f>
        <v>0</v>
      </c>
      <c r="J31" s="155">
        <f>+IF(AND(CALCULO!J28&lt;&gt;"", CALCULO!J28&gt;0), CALCULO!J28, 0)</f>
        <v>0</v>
      </c>
      <c r="K31" s="155">
        <f>+IF(AND(CALCULO!K28&lt;&gt;"",CALCULO!K28&gt;0),CALCULO!K28,0)</f>
        <v>0</v>
      </c>
      <c r="L31" s="155">
        <f>+IF(AND(CALCULO!L28&lt;&gt;"", CALCULO!L28&gt;0), CALCULO!L28, 0)</f>
        <v>0</v>
      </c>
      <c r="M31" s="155">
        <f>+IF(AND(CALCULO!M28&lt;&gt;"", CALCULO!M28&gt;0), CALCULO!M28, 0)</f>
        <v>0</v>
      </c>
      <c r="N31" s="155">
        <f>+IF(AND(CALCULO!N28&lt;&gt;"", CALCULO!N28&gt;0), CALCULO!N28, 0)</f>
        <v>0</v>
      </c>
      <c r="O31" s="155">
        <f>+IF(AND(CALCULO!O28&lt;&gt;"", CALCULO!O28&gt;0), CALCULO!O28, 0)</f>
        <v>0</v>
      </c>
      <c r="P31" s="277">
        <f>+IF(AND(CALCULO!P28&lt;&gt;"", CALCULO!P28&gt;0), CALCULO!P28, 0)</f>
        <v>0</v>
      </c>
      <c r="Q31" s="275">
        <f>+IF(AND(CALCULO!Q28&lt;&gt;"", CALCULO!Q28&gt;0), CALCULO!Q28, 0)</f>
        <v>0</v>
      </c>
      <c r="R31" s="275">
        <f>+IF(AND(CALCULO!R28&lt;&gt;"", CALCULO!R28&gt;0), CALCULO!R28, 0)</f>
        <v>0</v>
      </c>
      <c r="S31" s="275">
        <f>+IF(AND(CALCULO!S28&lt;&gt;"", CALCULO!S28&gt;0), CALCULO!S28, 0)</f>
        <v>0</v>
      </c>
      <c r="T31" s="275">
        <f>+IF(AND(CALCULO!T28&lt;&gt;"", CALCULO!T28&gt;0), CALCULO!T28, 0)</f>
        <v>0</v>
      </c>
      <c r="U31" s="275">
        <f>+IF(AND(CALCULO!U28&lt;&gt;"", CALCULO!U28&gt;0), CALCULO!U28, 0)</f>
        <v>0</v>
      </c>
      <c r="V31" s="275">
        <f>+IF(AND(CALCULO!V28&lt;&gt;"", CALCULO!V28&gt;0), CALCULO!V28, 0)</f>
        <v>0</v>
      </c>
      <c r="W31" s="275">
        <f>+IF(AND(CALCULO!W28&lt;&gt;"", CALCULO!W28&gt;0), CALCULO!W28, 0)</f>
        <v>0</v>
      </c>
      <c r="X31" s="275">
        <f>+IF(AND(CALCULO!X28&lt;&gt;"", CALCULO!X28&gt;0), CALCULO!X28, 0)</f>
        <v>0</v>
      </c>
      <c r="Y31" s="275">
        <f>+IF(AND(CALCULO!Y28&lt;&gt;"", CALCULO!Y28&gt;0), CALCULO!Y28, 0)</f>
        <v>0</v>
      </c>
      <c r="Z31" s="275">
        <f>+IF(AND(CALCULO!Z28&lt;&gt;"", CALCULO!Z28&gt;0), CALCULO!Z28, 0)</f>
        <v>0</v>
      </c>
      <c r="AA31" s="275">
        <f>+IF(AND(CALCULO!AA28&lt;&gt;"", CALCULO!AA28&gt;0), CALCULO!AA28, 0)</f>
        <v>0</v>
      </c>
      <c r="AB31" s="275">
        <f>+IF(AND(CALCULO!AB28&lt;&gt;"", CALCULO!AB28&gt;0), CALCULO!AB28, 0)</f>
        <v>0</v>
      </c>
      <c r="AC31" s="275">
        <f>+IF(AND(CALCULO!AC28&lt;&gt;"", CALCULO!AC28&gt;0), CALCULO!AC28, 0)</f>
        <v>0</v>
      </c>
      <c r="AD31" s="275">
        <f>+IF(AND(CALCULO!AD28&lt;&gt;"", CALCULO!AD28&gt;0), CALCULO!AD28, 0)</f>
        <v>0</v>
      </c>
      <c r="AE31" s="275">
        <f>+IF(AND(CALCULO!AE28&lt;&gt;"", CALCULO!AE28&gt;0), CALCULO!AE28, 0)</f>
        <v>0</v>
      </c>
      <c r="AF31" s="275">
        <f>+IF(AND(CALCULO!AF28&lt;&gt;"", CALCULO!AF28&gt;0), CALCULO!AF28, 0)</f>
        <v>0</v>
      </c>
      <c r="AG31" s="275">
        <f>+IF(AND(CALCULO!AG28&lt;&gt;"", CALCULO!AG28&gt;0), CALCULO!AG28, 0)</f>
        <v>0</v>
      </c>
      <c r="AH31" s="275">
        <f>+IF(AND(CALCULO!AH28&lt;&gt;"", CALCULO!AH28&gt;0), CALCULO!AH28, 0)</f>
        <v>0</v>
      </c>
      <c r="AI31" s="275">
        <f>+IF(AND(CALCULO!AI28&lt;&gt;"", CALCULO!AI28&gt;0), CALCULO!AI28, 0)</f>
        <v>0</v>
      </c>
      <c r="AJ31" s="275">
        <f>+IF(AND(CALCULO!AJ28&lt;&gt;"", CALCULO!AJ28&gt;0), CALCULO!AJ28, 0)</f>
        <v>0</v>
      </c>
      <c r="AK31" s="275">
        <f>+IF(AND(CALCULO!AK28&lt;&gt;"", CALCULO!AK28&gt;0), CALCULO!AK28, 0)</f>
        <v>0</v>
      </c>
      <c r="AL31" s="275">
        <f>+IF(AND(CALCULO!AL28&lt;&gt;"", CALCULO!AL28&gt;0), CALCULO!AL28, 0)</f>
        <v>0</v>
      </c>
      <c r="AM31" s="275">
        <f>+IF(AND(CALCULO!AM28&lt;&gt;"", CALCULO!AM28&gt;0), CALCULO!AM28, 0)</f>
        <v>0</v>
      </c>
      <c r="AN31" s="204">
        <f>+IF(AND(CALCULO!AN28&lt;&gt;"", CALCULO!AN28&gt;0), CALCULO!AN28, 0)</f>
        <v>0</v>
      </c>
      <c r="AO31" s="275">
        <f>+IF(AND(CALCULO!AO28&lt;&gt;"", CALCULO!AO28&gt;0), CALCULO!AO28, 0)</f>
        <v>0</v>
      </c>
      <c r="AP31" s="189">
        <f>+IF(AND(CALCULO!AP28&lt;&gt;"", CALCULO!AP28&gt;0), CALCULO!AP28, 0)</f>
        <v>0</v>
      </c>
      <c r="AQ31" s="189">
        <f>+IF(AND(CALCULO!AQ28&lt;&gt;"", CALCULO!AQ28&gt;0), CALCULO!AQ28, 0)</f>
        <v>0</v>
      </c>
      <c r="AR31" s="189">
        <f>+IF(AND(CALCULO!AT28&lt;&gt;"", CALCULO!AT28&gt;0), CALCULO!AT28, 0)</f>
        <v>0</v>
      </c>
      <c r="AS31" s="189">
        <f>+IF(AND(CALCULO!AU28&lt;&gt;"", CALCULO!AU28&gt;0), CALCULO!AU28, 0)</f>
        <v>0</v>
      </c>
      <c r="AT31" s="189">
        <f>+IF(AND(CALCULO!AR28&lt;&gt;"", CALCULO!AR28&gt;0), CALCULO!AR28, 0)</f>
        <v>0</v>
      </c>
      <c r="AU31" s="189">
        <f>+IF(AND(CALCULO!AS28&lt;&gt;"", CALCULO!AS28&gt;0), CALCULO!AS28, 0)</f>
        <v>0</v>
      </c>
      <c r="AV31" s="189">
        <f>+IF(AND(CALCULO!AW28&lt;&gt;"", CALCULO!AW28&gt;0), CALCULO!AW28, 0)</f>
        <v>0</v>
      </c>
      <c r="AW31" s="190">
        <f>+IF(AND(CALCULO!AX28&lt;&gt;"", CALCULO!AX28&gt;0), CALCULO!AX28, 0)</f>
        <v>0</v>
      </c>
      <c r="BE31" s="155" t="str">
        <f>+IF(AND(CALCULO!AV28&lt;&gt;"", CALCULO!AV28&gt;0), CALCULO!AV28, "0")</f>
        <v>0</v>
      </c>
    </row>
    <row r="32" spans="1:57" s="151" customFormat="1" ht="147.75" thickBot="1" x14ac:dyDescent="0.3">
      <c r="A32" s="444"/>
      <c r="B32" s="201" t="s">
        <v>60</v>
      </c>
      <c r="C32" s="193">
        <f t="shared" si="0"/>
        <v>2</v>
      </c>
      <c r="D32" s="193"/>
      <c r="E32" s="193">
        <f>+IF(AND(CALCULO!E29&lt;&gt;"", CALCULO!E29&gt;0), CALCULO!E29, "")</f>
        <v>2</v>
      </c>
      <c r="F32" s="193">
        <f>+IF(AND(CALCULO!F29&lt;&gt;"", CALCULO!F29&gt;0), CALCULO!F29, 0)</f>
        <v>0</v>
      </c>
      <c r="G32" s="193">
        <f>+IF(AND(CALCULO!G29&lt;&gt;"", CALCULO!G29&gt;0), CALCULO!G29, 0)</f>
        <v>0</v>
      </c>
      <c r="H32" s="193">
        <f>+IF(AND(CALCULO!H29&lt;&gt;"", CALCULO!H29&gt;0), CALCULO!H29, 0)</f>
        <v>0</v>
      </c>
      <c r="I32" s="193">
        <f>+IF(AND(CALCULO!I29&lt;&gt;"", CALCULO!I29&gt;0), CALCULO!I29, 0)</f>
        <v>0</v>
      </c>
      <c r="J32" s="193">
        <f>+IF(AND(CALCULO!J29&lt;&gt;"", CALCULO!J29&gt;0), CALCULO!J29, 0)</f>
        <v>0</v>
      </c>
      <c r="K32" s="193">
        <f>+IF(AND(CALCULO!K29&lt;&gt;"",CALCULO!K29&gt;0),CALCULO!K29,0)</f>
        <v>0</v>
      </c>
      <c r="L32" s="193">
        <f>+IF(AND(CALCULO!L29&lt;&gt;"", CALCULO!L29&gt;0), CALCULO!L29, 0)</f>
        <v>0</v>
      </c>
      <c r="M32" s="193">
        <f>+IF(AND(CALCULO!M29&lt;&gt;"", CALCULO!M29&gt;0), CALCULO!M29, 0)</f>
        <v>2</v>
      </c>
      <c r="N32" s="193">
        <f>+IF(AND(CALCULO!N29&lt;&gt;"", CALCULO!N29&gt;0), CALCULO!N29, 0)</f>
        <v>0</v>
      </c>
      <c r="O32" s="193">
        <f>+IF(AND(CALCULO!O29&lt;&gt;"", CALCULO!O29&gt;0), CALCULO!O29, 0)</f>
        <v>0</v>
      </c>
      <c r="P32" s="278">
        <f>+IF(AND(CALCULO!P29&lt;&gt;"", CALCULO!P29&gt;0), CALCULO!P29, 0)</f>
        <v>0</v>
      </c>
      <c r="Q32" s="275">
        <f>+IF(AND(CALCULO!Q29&lt;&gt;"", CALCULO!Q29&gt;0), CALCULO!Q29, 0)</f>
        <v>0</v>
      </c>
      <c r="R32" s="275">
        <f>+IF(AND(CALCULO!R29&lt;&gt;"", CALCULO!R29&gt;0), CALCULO!R29, 0)</f>
        <v>0</v>
      </c>
      <c r="S32" s="275">
        <f>+IF(AND(CALCULO!S29&lt;&gt;"", CALCULO!S29&gt;0), CALCULO!S29, 0)</f>
        <v>0</v>
      </c>
      <c r="T32" s="275">
        <f>+IF(AND(CALCULO!T29&lt;&gt;"", CALCULO!T29&gt;0), CALCULO!T29, 0)</f>
        <v>0</v>
      </c>
      <c r="U32" s="275">
        <f>+IF(AND(CALCULO!U29&lt;&gt;"", CALCULO!U29&gt;0), CALCULO!U29, 0)</f>
        <v>0</v>
      </c>
      <c r="V32" s="275">
        <f>+IF(AND(CALCULO!V29&lt;&gt;"", CALCULO!V29&gt;0), CALCULO!V29, 0)</f>
        <v>0</v>
      </c>
      <c r="W32" s="275">
        <f>+IF(AND(CALCULO!W29&lt;&gt;"", CALCULO!W29&gt;0), CALCULO!W29, 0)</f>
        <v>0</v>
      </c>
      <c r="X32" s="275">
        <f>+IF(AND(CALCULO!X29&lt;&gt;"", CALCULO!X29&gt;0), CALCULO!X29, 0)</f>
        <v>0</v>
      </c>
      <c r="Y32" s="275">
        <f>+IF(AND(CALCULO!Y29&lt;&gt;"", CALCULO!Y29&gt;0), CALCULO!Y29, 0)</f>
        <v>0</v>
      </c>
      <c r="Z32" s="275">
        <f>+IF(AND(CALCULO!Z29&lt;&gt;"", CALCULO!Z29&gt;0), CALCULO!Z29, 0)</f>
        <v>0</v>
      </c>
      <c r="AA32" s="275">
        <f>+IF(AND(CALCULO!AA29&lt;&gt;"", CALCULO!AA29&gt;0), CALCULO!AA29, 0)</f>
        <v>0</v>
      </c>
      <c r="AB32" s="275">
        <f>+IF(AND(CALCULO!AB29&lt;&gt;"", CALCULO!AB29&gt;0), CALCULO!AB29, 0)</f>
        <v>0</v>
      </c>
      <c r="AC32" s="275">
        <f>+IF(AND(CALCULO!AC29&lt;&gt;"", CALCULO!AC29&gt;0), CALCULO!AC29, 0)</f>
        <v>0</v>
      </c>
      <c r="AD32" s="275">
        <f>+IF(AND(CALCULO!AD29&lt;&gt;"", CALCULO!AD29&gt;0), CALCULO!AD29, 0)</f>
        <v>0</v>
      </c>
      <c r="AE32" s="275">
        <f>+IF(AND(CALCULO!AE29&lt;&gt;"", CALCULO!AE29&gt;0), CALCULO!AE29, 0)</f>
        <v>0</v>
      </c>
      <c r="AF32" s="275">
        <f>+IF(AND(CALCULO!AF29&lt;&gt;"", CALCULO!AF29&gt;0), CALCULO!AF29, 0)</f>
        <v>0</v>
      </c>
      <c r="AG32" s="275">
        <f>+IF(AND(CALCULO!AG29&lt;&gt;"", CALCULO!AG29&gt;0), CALCULO!AG29, 0)</f>
        <v>0</v>
      </c>
      <c r="AH32" s="275">
        <f>+IF(AND(CALCULO!AH29&lt;&gt;"", CALCULO!AH29&gt;0), CALCULO!AH29, 0)</f>
        <v>0</v>
      </c>
      <c r="AI32" s="275">
        <f>+IF(AND(CALCULO!AI29&lt;&gt;"", CALCULO!AI29&gt;0), CALCULO!AI29, 0)</f>
        <v>0</v>
      </c>
      <c r="AJ32" s="275">
        <f>+IF(AND(CALCULO!AJ29&lt;&gt;"", CALCULO!AJ29&gt;0), CALCULO!AJ29, 0)</f>
        <v>0</v>
      </c>
      <c r="AK32" s="275">
        <f>+IF(AND(CALCULO!AK29&lt;&gt;"", CALCULO!AK29&gt;0), CALCULO!AK29, 0)</f>
        <v>0</v>
      </c>
      <c r="AL32" s="275">
        <f>+IF(AND(CALCULO!AL29&lt;&gt;"", CALCULO!AL29&gt;0), CALCULO!AL29, 0)</f>
        <v>0</v>
      </c>
      <c r="AM32" s="275">
        <f>+IF(AND(CALCULO!AM29&lt;&gt;"", CALCULO!AM29&gt;0), CALCULO!AM29, 0)</f>
        <v>0</v>
      </c>
      <c r="AN32" s="204">
        <f>+IF(AND(CALCULO!AN29&lt;&gt;"", CALCULO!AN29&gt;0), CALCULO!AN29, 0)</f>
        <v>0</v>
      </c>
      <c r="AO32" s="275">
        <f>+IF(AND(CALCULO!AO29&lt;&gt;"", CALCULO!AO29&gt;0), CALCULO!AO29, 0)</f>
        <v>0</v>
      </c>
      <c r="AP32" s="189">
        <f>+IF(AND(CALCULO!AP29&lt;&gt;"", CALCULO!AP29&gt;0), CALCULO!AP29, 0)</f>
        <v>0</v>
      </c>
      <c r="AQ32" s="189">
        <f>+IF(AND(CALCULO!AQ29&lt;&gt;"", CALCULO!AQ29&gt;0), CALCULO!AQ29, 0)</f>
        <v>0</v>
      </c>
      <c r="AR32" s="189">
        <f>+IF(AND(CALCULO!AT29&lt;&gt;"", CALCULO!AT29&gt;0), CALCULO!AT29, 0)</f>
        <v>0</v>
      </c>
      <c r="AS32" s="189">
        <f>+IF(AND(CALCULO!AU29&lt;&gt;"", CALCULO!AU29&gt;0), CALCULO!AU29, 0)</f>
        <v>1</v>
      </c>
      <c r="AT32" s="189">
        <f>+IF(AND(CALCULO!AR29&lt;&gt;"", CALCULO!AR29&gt;0), CALCULO!AR29, 0)</f>
        <v>0</v>
      </c>
      <c r="AU32" s="189">
        <f>+IF(AND(CALCULO!AS29&lt;&gt;"", CALCULO!AS29&gt;0), CALCULO!AS29, 0)</f>
        <v>0</v>
      </c>
      <c r="AV32" s="189">
        <f>+IF(AND(CALCULO!AW29&lt;&gt;"", CALCULO!AW29&gt;0), CALCULO!AW29, 0)</f>
        <v>0</v>
      </c>
      <c r="AW32" s="190">
        <f>+IF(AND(CALCULO!AX29&lt;&gt;"", CALCULO!AX29&gt;0), CALCULO!AX29, 0)</f>
        <v>0</v>
      </c>
      <c r="BE32" s="155" t="str">
        <f>+IF(AND(CALCULO!AV29&lt;&gt;"", CALCULO!AV29&gt;0), CALCULO!AV29, "0")</f>
        <v>0</v>
      </c>
    </row>
    <row r="33" spans="1:57" s="151" customFormat="1" ht="53.25" thickBot="1" x14ac:dyDescent="0.3">
      <c r="A33" s="445" t="s">
        <v>61</v>
      </c>
      <c r="B33" s="197" t="s">
        <v>62</v>
      </c>
      <c r="C33" s="185">
        <f t="shared" si="0"/>
        <v>1</v>
      </c>
      <c r="D33" s="185"/>
      <c r="E33" s="185" t="str">
        <f>+IF(AND(CALCULO!E30&lt;&gt;"", CALCULO!E30&gt;0), CALCULO!E30, "")</f>
        <v/>
      </c>
      <c r="F33" s="185">
        <f>+IF(AND(CALCULO!F30&lt;&gt;"", CALCULO!F30&gt;0), CALCULO!F30, 0)</f>
        <v>0</v>
      </c>
      <c r="G33" s="185">
        <f>+IF(AND(CALCULO!G30&lt;&gt;"", CALCULO!G30&gt;0), CALCULO!G30, 0)</f>
        <v>0</v>
      </c>
      <c r="H33" s="185">
        <f>+IF(AND(CALCULO!H30&lt;&gt;"", CALCULO!H30&gt;0), CALCULO!H30, 0)</f>
        <v>0</v>
      </c>
      <c r="I33" s="185">
        <f>+IF(AND(CALCULO!I30&lt;&gt;"", CALCULO!I30&gt;0), CALCULO!I30, 0)</f>
        <v>0</v>
      </c>
      <c r="J33" s="185">
        <f>+IF(AND(CALCULO!J30&lt;&gt;"", CALCULO!J30&gt;0), CALCULO!J30, 0)</f>
        <v>1</v>
      </c>
      <c r="K33" s="185">
        <f>+IF(AND(CALCULO!K30&lt;&gt;"",CALCULO!K30&gt;0),CALCULO!K30,0)</f>
        <v>0</v>
      </c>
      <c r="L33" s="185">
        <f>+IF(AND(CALCULO!L30&lt;&gt;"", CALCULO!L30&gt;0), CALCULO!L30, 0)</f>
        <v>0</v>
      </c>
      <c r="M33" s="185">
        <f>+IF(AND(CALCULO!M30&lt;&gt;"", CALCULO!M30&gt;0), CALCULO!M30, 0)</f>
        <v>0</v>
      </c>
      <c r="N33" s="185">
        <f>+IF(AND(CALCULO!N30&lt;&gt;"", CALCULO!N30&gt;0), CALCULO!N30, 0)</f>
        <v>0</v>
      </c>
      <c r="O33" s="185">
        <f>+IF(AND(CALCULO!O30&lt;&gt;"", CALCULO!O30&gt;0), CALCULO!O30, 0)</f>
        <v>0</v>
      </c>
      <c r="P33" s="185">
        <f>+IF(AND(CALCULO!P30&lt;&gt;"", CALCULO!P30&gt;0), CALCULO!P30, 0)</f>
        <v>0</v>
      </c>
      <c r="Q33" s="189">
        <f>+IF(AND(CALCULO!Q30&lt;&gt;"", CALCULO!Q30&gt;0), CALCULO!Q30, 0)</f>
        <v>0</v>
      </c>
      <c r="R33" s="189">
        <f>+IF(AND(CALCULO!R30&lt;&gt;"", CALCULO!R30&gt;0), CALCULO!R30, 0)</f>
        <v>0</v>
      </c>
      <c r="S33" s="189">
        <f>+IF(AND(CALCULO!S30&lt;&gt;"", CALCULO!S30&gt;0), CALCULO!S30, 0)</f>
        <v>0</v>
      </c>
      <c r="T33" s="189">
        <f>+IF(AND(CALCULO!T30&lt;&gt;"", CALCULO!T30&gt;0), CALCULO!T30, 0)</f>
        <v>0</v>
      </c>
      <c r="U33" s="189">
        <f>+IF(AND(CALCULO!U30&lt;&gt;"", CALCULO!U30&gt;0), CALCULO!U30, 0)</f>
        <v>0</v>
      </c>
      <c r="V33" s="189">
        <f>+IF(AND(CALCULO!V30&lt;&gt;"", CALCULO!V30&gt;0), CALCULO!V30, 0)</f>
        <v>0</v>
      </c>
      <c r="W33" s="189">
        <f>+IF(AND(CALCULO!W30&lt;&gt;"", CALCULO!W30&gt;0), CALCULO!W30, 0)</f>
        <v>0</v>
      </c>
      <c r="X33" s="189">
        <f>+IF(AND(CALCULO!X30&lt;&gt;"", CALCULO!X30&gt;0), CALCULO!X30, 0)</f>
        <v>0</v>
      </c>
      <c r="Y33" s="189">
        <f>+IF(AND(CALCULO!Y30&lt;&gt;"", CALCULO!Y30&gt;0), CALCULO!Y30, 0)</f>
        <v>0</v>
      </c>
      <c r="Z33" s="189">
        <f>+IF(AND(CALCULO!Z30&lt;&gt;"", CALCULO!Z30&gt;0), CALCULO!Z30, 0)</f>
        <v>0</v>
      </c>
      <c r="AA33" s="189">
        <f>+IF(AND(CALCULO!AA30&lt;&gt;"", CALCULO!AA30&gt;0), CALCULO!AA30, 0)</f>
        <v>0</v>
      </c>
      <c r="AB33" s="189">
        <f>+IF(AND(CALCULO!AB30&lt;&gt;"", CALCULO!AB30&gt;0), CALCULO!AB30, 0)</f>
        <v>0</v>
      </c>
      <c r="AC33" s="189">
        <f>+IF(AND(CALCULO!AC30&lt;&gt;"", CALCULO!AC30&gt;0), CALCULO!AC30, 0)</f>
        <v>0</v>
      </c>
      <c r="AD33" s="189">
        <f>+IF(AND(CALCULO!AD30&lt;&gt;"", CALCULO!AD30&gt;0), CALCULO!AD30, 0)</f>
        <v>0</v>
      </c>
      <c r="AE33" s="189">
        <f>+IF(AND(CALCULO!AE30&lt;&gt;"", CALCULO!AE30&gt;0), CALCULO!AE30, 0)</f>
        <v>0</v>
      </c>
      <c r="AF33" s="189">
        <f>+IF(AND(CALCULO!AF30&lt;&gt;"", CALCULO!AF30&gt;0), CALCULO!AF30, 0)</f>
        <v>0</v>
      </c>
      <c r="AG33" s="189">
        <f>+IF(AND(CALCULO!AG30&lt;&gt;"", CALCULO!AG30&gt;0), CALCULO!AG30, 0)</f>
        <v>0</v>
      </c>
      <c r="AH33" s="189">
        <f>+IF(AND(CALCULO!AH30&lt;&gt;"", CALCULO!AH30&gt;0), CALCULO!AH30, 0)</f>
        <v>0</v>
      </c>
      <c r="AI33" s="189">
        <f>+IF(AND(CALCULO!AI30&lt;&gt;"", CALCULO!AI30&gt;0), CALCULO!AI30, 0)</f>
        <v>0</v>
      </c>
      <c r="AJ33" s="189">
        <f>+IF(AND(CALCULO!AJ30&lt;&gt;"", CALCULO!AJ30&gt;0), CALCULO!AJ30, 0)</f>
        <v>0</v>
      </c>
      <c r="AK33" s="189">
        <f>+IF(AND(CALCULO!AK30&lt;&gt;"", CALCULO!AK30&gt;0), CALCULO!AK30, 0)</f>
        <v>0</v>
      </c>
      <c r="AL33" s="189">
        <f>+IF(AND(CALCULO!AL30&lt;&gt;"", CALCULO!AL30&gt;0), CALCULO!AL30, 0)</f>
        <v>0</v>
      </c>
      <c r="AM33" s="189">
        <f>+IF(AND(CALCULO!AM30&lt;&gt;"", CALCULO!AM30&gt;0), CALCULO!AM30, 0)</f>
        <v>0</v>
      </c>
      <c r="AN33" s="204">
        <f>+IF(AND(CALCULO!AN30&lt;&gt;"", CALCULO!AN30&gt;0), CALCULO!AN30, 0)</f>
        <v>0</v>
      </c>
      <c r="AO33" s="189">
        <f>+IF(AND(CALCULO!AO30&lt;&gt;"", CALCULO!AO30&gt;0), CALCULO!AO30, 0)</f>
        <v>0</v>
      </c>
      <c r="AP33" s="189">
        <f>+IF(AND(CALCULO!AP30&lt;&gt;"", CALCULO!AP30&gt;0), CALCULO!AP30, 0)</f>
        <v>0</v>
      </c>
      <c r="AQ33" s="189">
        <f>+IF(AND(CALCULO!AQ30&lt;&gt;"", CALCULO!AQ30&gt;0), CALCULO!AQ30, 0)</f>
        <v>0</v>
      </c>
      <c r="AR33" s="189">
        <f>+IF(AND(CALCULO!AT30&lt;&gt;"", CALCULO!AT30&gt;0), CALCULO!AT30, 0)</f>
        <v>0</v>
      </c>
      <c r="AS33" s="189">
        <f>+IF(AND(CALCULO!AU30&lt;&gt;"", CALCULO!AU30&gt;0), CALCULO!AU30, 0)</f>
        <v>0</v>
      </c>
      <c r="AT33" s="189">
        <f>+IF(AND(CALCULO!AR30&lt;&gt;"", CALCULO!AR30&gt;0), CALCULO!AR30, 0)</f>
        <v>1</v>
      </c>
      <c r="AU33" s="189">
        <f>+IF(AND(CALCULO!AS30&lt;&gt;"", CALCULO!AS30&gt;0), CALCULO!AS30, 0)</f>
        <v>0</v>
      </c>
      <c r="AV33" s="189">
        <f>+IF(AND(CALCULO!AW30&lt;&gt;"", CALCULO!AW30&gt;0), CALCULO!AW30, 0)</f>
        <v>0</v>
      </c>
      <c r="AW33" s="190">
        <f>+IF(AND(CALCULO!AX30&lt;&gt;"", CALCULO!AX30&gt;0), CALCULO!AX30, 0)</f>
        <v>0</v>
      </c>
      <c r="BE33" s="155" t="str">
        <f>+IF(AND(CALCULO!AV30&lt;&gt;"", CALCULO!AV30&gt;0), CALCULO!AV30, "0")</f>
        <v>0</v>
      </c>
    </row>
    <row r="34" spans="1:57" s="151" customFormat="1" ht="23.25" thickBot="1" x14ac:dyDescent="0.3">
      <c r="A34" s="446"/>
      <c r="B34" s="157" t="s">
        <v>63</v>
      </c>
      <c r="C34" s="155">
        <f t="shared" si="0"/>
        <v>4</v>
      </c>
      <c r="D34" s="155"/>
      <c r="E34" s="155">
        <f>+IF(AND(CALCULO!E31&lt;&gt;"", CALCULO!E31&gt;0), CALCULO!E31, "")</f>
        <v>3</v>
      </c>
      <c r="F34" s="155">
        <f>+IF(AND(CALCULO!F31&lt;&gt;"", CALCULO!F31&gt;0), CALCULO!F31, 0)</f>
        <v>0</v>
      </c>
      <c r="G34" s="155">
        <f>+IF(AND(CALCULO!G31&lt;&gt;"", CALCULO!G31&gt;0), CALCULO!G31, 0)</f>
        <v>0</v>
      </c>
      <c r="H34" s="155">
        <f>+IF(AND(CALCULO!H31&lt;&gt;"", CALCULO!H31&gt;0), CALCULO!H31, 0)</f>
        <v>0</v>
      </c>
      <c r="I34" s="155">
        <f>+IF(AND(CALCULO!I31&lt;&gt;"", CALCULO!I31&gt;0), CALCULO!I31, 0)</f>
        <v>0</v>
      </c>
      <c r="J34" s="155">
        <f>+IF(AND(CALCULO!J31&lt;&gt;"", CALCULO!J31&gt;0), CALCULO!J31, 0)</f>
        <v>1</v>
      </c>
      <c r="K34" s="155">
        <f>+IF(AND(CALCULO!K31&lt;&gt;"",CALCULO!K31&gt;0),CALCULO!K31,0)</f>
        <v>0</v>
      </c>
      <c r="L34" s="155">
        <f>+IF(AND(CALCULO!L31&lt;&gt;"", CALCULO!L31&gt;0), CALCULO!L31, 0)</f>
        <v>0</v>
      </c>
      <c r="M34" s="155">
        <f>+IF(AND(CALCULO!M31&lt;&gt;"", CALCULO!M31&gt;0), CALCULO!M31, 0)</f>
        <v>1</v>
      </c>
      <c r="N34" s="155">
        <f>+IF(AND(CALCULO!N31&lt;&gt;"", CALCULO!N31&gt;0), CALCULO!N31, 0)</f>
        <v>0</v>
      </c>
      <c r="O34" s="155">
        <f>+IF(AND(CALCULO!O31&lt;&gt;"", CALCULO!O31&gt;0), CALCULO!O31, 0)</f>
        <v>0</v>
      </c>
      <c r="P34" s="155">
        <f>+IF(AND(CALCULO!P31&lt;&gt;"", CALCULO!P31&gt;0), CALCULO!P31, 0)</f>
        <v>0</v>
      </c>
      <c r="Q34" s="189">
        <f>+IF(AND(CALCULO!Q31&lt;&gt;"", CALCULO!Q31&gt;0), CALCULO!Q31, 0)</f>
        <v>0</v>
      </c>
      <c r="R34" s="189">
        <f>+IF(AND(CALCULO!R31&lt;&gt;"", CALCULO!R31&gt;0), CALCULO!R31, 0)</f>
        <v>0</v>
      </c>
      <c r="S34" s="189">
        <f>+IF(AND(CALCULO!S31&lt;&gt;"", CALCULO!S31&gt;0), CALCULO!S31, 0)</f>
        <v>0</v>
      </c>
      <c r="T34" s="189">
        <f>+IF(AND(CALCULO!T31&lt;&gt;"", CALCULO!T31&gt;0), CALCULO!T31, 0)</f>
        <v>0</v>
      </c>
      <c r="U34" s="189">
        <f>+IF(AND(CALCULO!U31&lt;&gt;"", CALCULO!U31&gt;0), CALCULO!U31, 0)</f>
        <v>0</v>
      </c>
      <c r="V34" s="189">
        <f>+IF(AND(CALCULO!V31&lt;&gt;"", CALCULO!V31&gt;0), CALCULO!V31, 0)</f>
        <v>0</v>
      </c>
      <c r="W34" s="189">
        <f>+IF(AND(CALCULO!W31&lt;&gt;"", CALCULO!W31&gt;0), CALCULO!W31, 0)</f>
        <v>0</v>
      </c>
      <c r="X34" s="189">
        <f>+IF(AND(CALCULO!X31&lt;&gt;"", CALCULO!X31&gt;0), CALCULO!X31, 0)</f>
        <v>0</v>
      </c>
      <c r="Y34" s="189">
        <f>+IF(AND(CALCULO!Y31&lt;&gt;"", CALCULO!Y31&gt;0), CALCULO!Y31, 0)</f>
        <v>1</v>
      </c>
      <c r="Z34" s="189">
        <f>+IF(AND(CALCULO!Z31&lt;&gt;"", CALCULO!Z31&gt;0), CALCULO!Z31, 0)</f>
        <v>0</v>
      </c>
      <c r="AA34" s="189">
        <f>+IF(AND(CALCULO!AA31&lt;&gt;"", CALCULO!AA31&gt;0), CALCULO!AA31, 0)</f>
        <v>0</v>
      </c>
      <c r="AB34" s="189">
        <f>+IF(AND(CALCULO!AB31&lt;&gt;"", CALCULO!AB31&gt;0), CALCULO!AB31, 0)</f>
        <v>0</v>
      </c>
      <c r="AC34" s="189">
        <f>+IF(AND(CALCULO!AC31&lt;&gt;"", CALCULO!AC31&gt;0), CALCULO!AC31, 0)</f>
        <v>0</v>
      </c>
      <c r="AD34" s="189">
        <f>+IF(AND(CALCULO!AD31&lt;&gt;"", CALCULO!AD31&gt;0), CALCULO!AD31, 0)</f>
        <v>0</v>
      </c>
      <c r="AE34" s="189">
        <f>+IF(AND(CALCULO!AE31&lt;&gt;"", CALCULO!AE31&gt;0), CALCULO!AE31, 0)</f>
        <v>1</v>
      </c>
      <c r="AF34" s="189">
        <f>+IF(AND(CALCULO!AF31&lt;&gt;"", CALCULO!AF31&gt;0), CALCULO!AF31, 0)</f>
        <v>0</v>
      </c>
      <c r="AG34" s="189">
        <f>+IF(AND(CALCULO!AG31&lt;&gt;"", CALCULO!AG31&gt;0), CALCULO!AG31, 0)</f>
        <v>0</v>
      </c>
      <c r="AH34" s="189">
        <f>+IF(AND(CALCULO!AH31&lt;&gt;"", CALCULO!AH31&gt;0), CALCULO!AH31, 0)</f>
        <v>0</v>
      </c>
      <c r="AI34" s="189">
        <f>+IF(AND(CALCULO!AI31&lt;&gt;"", CALCULO!AI31&gt;0), CALCULO!AI31, 0)</f>
        <v>0</v>
      </c>
      <c r="AJ34" s="189">
        <f>+IF(AND(CALCULO!AJ31&lt;&gt;"", CALCULO!AJ31&gt;0), CALCULO!AJ31, 0)</f>
        <v>0</v>
      </c>
      <c r="AK34" s="189">
        <f>+IF(AND(CALCULO!AK31&lt;&gt;"", CALCULO!AK31&gt;0), CALCULO!AK31, 0)</f>
        <v>0</v>
      </c>
      <c r="AL34" s="189">
        <f>+IF(AND(CALCULO!AL31&lt;&gt;"", CALCULO!AL31&gt;0), CALCULO!AL31, 0)</f>
        <v>0</v>
      </c>
      <c r="AM34" s="189">
        <f>+IF(AND(CALCULO!AM31&lt;&gt;"", CALCULO!AM31&gt;0), CALCULO!AM31, 0)</f>
        <v>0</v>
      </c>
      <c r="AN34" s="204">
        <f>+IF(AND(CALCULO!AN31&lt;&gt;"", CALCULO!AN31&gt;0), CALCULO!AN31, 0)</f>
        <v>0</v>
      </c>
      <c r="AO34" s="189">
        <f>+IF(AND(CALCULO!AO31&lt;&gt;"", CALCULO!AO31&gt;0), CALCULO!AO31, 0)</f>
        <v>0</v>
      </c>
      <c r="AP34" s="189">
        <f>+IF(AND(CALCULO!AP31&lt;&gt;"", CALCULO!AP31&gt;0), CALCULO!AP31, 0)</f>
        <v>0</v>
      </c>
      <c r="AQ34" s="189">
        <f>+IF(AND(CALCULO!AQ31&lt;&gt;"", CALCULO!AQ31&gt;0), CALCULO!AQ31, 0)</f>
        <v>0</v>
      </c>
      <c r="AR34" s="189">
        <f>+IF(AND(CALCULO!AT31&lt;&gt;"", CALCULO!AT31&gt;0), CALCULO!AT31, 0)</f>
        <v>0</v>
      </c>
      <c r="AS34" s="189">
        <f>+IF(AND(CALCULO!AU31&lt;&gt;"", CALCULO!AU31&gt;0), CALCULO!AU31, 0)</f>
        <v>0</v>
      </c>
      <c r="AT34" s="189">
        <f>+IF(AND(CALCULO!AR31&lt;&gt;"", CALCULO!AR31&gt;0), CALCULO!AR31, 0)</f>
        <v>0</v>
      </c>
      <c r="AU34" s="189">
        <f>+IF(AND(CALCULO!AS31&lt;&gt;"", CALCULO!AS31&gt;0), CALCULO!AS31, 0)</f>
        <v>0</v>
      </c>
      <c r="AV34" s="189">
        <f>+IF(AND(CALCULO!AW31&lt;&gt;"", CALCULO!AW31&gt;0), CALCULO!AW31, 0)</f>
        <v>0</v>
      </c>
      <c r="AW34" s="190">
        <f>+IF(AND(CALCULO!AX31&lt;&gt;"", CALCULO!AX31&gt;0), CALCULO!AX31, 0)</f>
        <v>0</v>
      </c>
      <c r="BE34" s="155" t="str">
        <f>+IF(AND(CALCULO!AV31&lt;&gt;"", CALCULO!AV31&gt;0), CALCULO!AV31, "0")</f>
        <v>0</v>
      </c>
    </row>
    <row r="35" spans="1:57" s="151" customFormat="1" ht="21.75" thickBot="1" x14ac:dyDescent="0.3">
      <c r="A35" s="446"/>
      <c r="B35" s="158" t="s">
        <v>64</v>
      </c>
      <c r="C35" s="155">
        <f t="shared" si="0"/>
        <v>0</v>
      </c>
      <c r="D35" s="155"/>
      <c r="E35" s="155" t="str">
        <f>+IF(AND(CALCULO!E32&lt;&gt;"", CALCULO!E32&gt;0), CALCULO!E32, "")</f>
        <v/>
      </c>
      <c r="F35" s="155">
        <f>+IF(AND(CALCULO!F32&lt;&gt;"", CALCULO!F32&gt;0), CALCULO!F32, 0)</f>
        <v>0</v>
      </c>
      <c r="G35" s="155">
        <f>+IF(AND(CALCULO!G32&lt;&gt;"", CALCULO!G32&gt;0), CALCULO!G32, 0)</f>
        <v>0</v>
      </c>
      <c r="H35" s="155">
        <f>+IF(AND(CALCULO!H32&lt;&gt;"", CALCULO!H32&gt;0), CALCULO!H32, 0)</f>
        <v>0</v>
      </c>
      <c r="I35" s="155">
        <f>+IF(AND(CALCULO!I32&lt;&gt;"", CALCULO!I32&gt;0), CALCULO!I32, 0)</f>
        <v>0</v>
      </c>
      <c r="J35" s="155">
        <f>+IF(AND(CALCULO!J32&lt;&gt;"", CALCULO!J32&gt;0), CALCULO!J32, 0)</f>
        <v>0</v>
      </c>
      <c r="K35" s="155">
        <f>+IF(AND(CALCULO!K32&lt;&gt;"",CALCULO!K32&gt;0),CALCULO!K32,0)</f>
        <v>0</v>
      </c>
      <c r="L35" s="155">
        <f>+IF(AND(CALCULO!L32&lt;&gt;"", CALCULO!L32&gt;0), CALCULO!L32, 0)</f>
        <v>0</v>
      </c>
      <c r="M35" s="155">
        <f>+IF(AND(CALCULO!M32&lt;&gt;"", CALCULO!M32&gt;0), CALCULO!M32, 0)</f>
        <v>0</v>
      </c>
      <c r="N35" s="155">
        <f>+IF(AND(CALCULO!N32&lt;&gt;"", CALCULO!N32&gt;0), CALCULO!N32, 0)</f>
        <v>0</v>
      </c>
      <c r="O35" s="155">
        <f>+IF(AND(CALCULO!O32&lt;&gt;"", CALCULO!O32&gt;0), CALCULO!O32, 0)</f>
        <v>0</v>
      </c>
      <c r="P35" s="155">
        <f>+IF(AND(CALCULO!P32&lt;&gt;"", CALCULO!P32&gt;0), CALCULO!P32, 0)</f>
        <v>0</v>
      </c>
      <c r="Q35" s="189">
        <f>+IF(AND(CALCULO!Q32&lt;&gt;"", CALCULO!Q32&gt;0), CALCULO!Q32, 0)</f>
        <v>0</v>
      </c>
      <c r="R35" s="189">
        <f>+IF(AND(CALCULO!R32&lt;&gt;"", CALCULO!R32&gt;0), CALCULO!R32, 0)</f>
        <v>0</v>
      </c>
      <c r="S35" s="189">
        <f>+IF(AND(CALCULO!S32&lt;&gt;"", CALCULO!S32&gt;0), CALCULO!S32, 0)</f>
        <v>0</v>
      </c>
      <c r="T35" s="189">
        <f>+IF(AND(CALCULO!T32&lt;&gt;"", CALCULO!T32&gt;0), CALCULO!T32, 0)</f>
        <v>0</v>
      </c>
      <c r="U35" s="189">
        <f>+IF(AND(CALCULO!U32&lt;&gt;"", CALCULO!U32&gt;0), CALCULO!U32, 0)</f>
        <v>0</v>
      </c>
      <c r="V35" s="189">
        <f>+IF(AND(CALCULO!V32&lt;&gt;"", CALCULO!V32&gt;0), CALCULO!V32, 0)</f>
        <v>0</v>
      </c>
      <c r="W35" s="189">
        <f>+IF(AND(CALCULO!W32&lt;&gt;"", CALCULO!W32&gt;0), CALCULO!W32, 0)</f>
        <v>0</v>
      </c>
      <c r="X35" s="189">
        <f>+IF(AND(CALCULO!X32&lt;&gt;"", CALCULO!X32&gt;0), CALCULO!X32, 0)</f>
        <v>0</v>
      </c>
      <c r="Y35" s="189">
        <f>+IF(AND(CALCULO!Y32&lt;&gt;"", CALCULO!Y32&gt;0), CALCULO!Y32, 0)</f>
        <v>0</v>
      </c>
      <c r="Z35" s="189">
        <f>+IF(AND(CALCULO!Z32&lt;&gt;"", CALCULO!Z32&gt;0), CALCULO!Z32, 0)</f>
        <v>0</v>
      </c>
      <c r="AA35" s="189">
        <f>+IF(AND(CALCULO!AA32&lt;&gt;"", CALCULO!AA32&gt;0), CALCULO!AA32, 0)</f>
        <v>0</v>
      </c>
      <c r="AB35" s="189">
        <f>+IF(AND(CALCULO!AB32&lt;&gt;"", CALCULO!AB32&gt;0), CALCULO!AB32, 0)</f>
        <v>0</v>
      </c>
      <c r="AC35" s="189">
        <f>+IF(AND(CALCULO!AC32&lt;&gt;"", CALCULO!AC32&gt;0), CALCULO!AC32, 0)</f>
        <v>0</v>
      </c>
      <c r="AD35" s="189">
        <f>+IF(AND(CALCULO!AD32&lt;&gt;"", CALCULO!AD32&gt;0), CALCULO!AD32, 0)</f>
        <v>0</v>
      </c>
      <c r="AE35" s="189">
        <f>+IF(AND(CALCULO!AE32&lt;&gt;"", CALCULO!AE32&gt;0), CALCULO!AE32, 0)</f>
        <v>0</v>
      </c>
      <c r="AF35" s="189">
        <f>+IF(AND(CALCULO!AF32&lt;&gt;"", CALCULO!AF32&gt;0), CALCULO!AF32, 0)</f>
        <v>0</v>
      </c>
      <c r="AG35" s="189">
        <f>+IF(AND(CALCULO!AG32&lt;&gt;"", CALCULO!AG32&gt;0), CALCULO!AG32, 0)</f>
        <v>0</v>
      </c>
      <c r="AH35" s="189">
        <f>+IF(AND(CALCULO!AH32&lt;&gt;"", CALCULO!AH32&gt;0), CALCULO!AH32, 0)</f>
        <v>0</v>
      </c>
      <c r="AI35" s="189">
        <f>+IF(AND(CALCULO!AI32&lt;&gt;"", CALCULO!AI32&gt;0), CALCULO!AI32, 0)</f>
        <v>0</v>
      </c>
      <c r="AJ35" s="189">
        <f>+IF(AND(CALCULO!AJ32&lt;&gt;"", CALCULO!AJ32&gt;0), CALCULO!AJ32, 0)</f>
        <v>0</v>
      </c>
      <c r="AK35" s="189">
        <f>+IF(AND(CALCULO!AK32&lt;&gt;"", CALCULO!AK32&gt;0), CALCULO!AK32, 0)</f>
        <v>0</v>
      </c>
      <c r="AL35" s="189">
        <f>+IF(AND(CALCULO!AL32&lt;&gt;"", CALCULO!AL32&gt;0), CALCULO!AL32, 0)</f>
        <v>0</v>
      </c>
      <c r="AM35" s="189">
        <f>+IF(AND(CALCULO!AM32&lt;&gt;"", CALCULO!AM32&gt;0), CALCULO!AM32, 0)</f>
        <v>0</v>
      </c>
      <c r="AN35" s="204">
        <f>+IF(AND(CALCULO!AN32&lt;&gt;"", CALCULO!AN32&gt;0), CALCULO!AN32, 0)</f>
        <v>1</v>
      </c>
      <c r="AO35" s="189">
        <f>+IF(AND(CALCULO!AO32&lt;&gt;"", CALCULO!AO32&gt;0), CALCULO!AO32, 0)</f>
        <v>1</v>
      </c>
      <c r="AP35" s="189">
        <f>+IF(AND(CALCULO!AP32&lt;&gt;"", CALCULO!AP32&gt;0), CALCULO!AP32, 0)</f>
        <v>1</v>
      </c>
      <c r="AQ35" s="189">
        <f>+IF(AND(CALCULO!AQ32&lt;&gt;"", CALCULO!AQ32&gt;0), CALCULO!AQ32, 0)</f>
        <v>0</v>
      </c>
      <c r="AR35" s="189">
        <f>+IF(AND(CALCULO!AT32&lt;&gt;"", CALCULO!AT32&gt;0), CALCULO!AT32, 0)</f>
        <v>1</v>
      </c>
      <c r="AS35" s="189">
        <f>+IF(AND(CALCULO!AU32&lt;&gt;"", CALCULO!AU32&gt;0), CALCULO!AU32, 0)</f>
        <v>0</v>
      </c>
      <c r="AT35" s="189">
        <f>+IF(AND(CALCULO!AR32&lt;&gt;"", CALCULO!AR32&gt;0), CALCULO!AR32, 0)</f>
        <v>1</v>
      </c>
      <c r="AU35" s="189">
        <f>+IF(AND(CALCULO!AS32&lt;&gt;"", CALCULO!AS32&gt;0), CALCULO!AS32, 0)</f>
        <v>1</v>
      </c>
      <c r="AV35" s="189">
        <f>+IF(AND(CALCULO!AW32&lt;&gt;"", CALCULO!AW32&gt;0), CALCULO!AW32, 0)</f>
        <v>1</v>
      </c>
      <c r="AW35" s="190">
        <f>+IF(AND(CALCULO!AX32&lt;&gt;"", CALCULO!AX32&gt;0), CALCULO!AX32, 0)</f>
        <v>1</v>
      </c>
      <c r="BE35" s="155">
        <f>+IF(AND(CALCULO!AV32&lt;&gt;"", CALCULO!AV32&gt;0), CALCULO!AV32, "0")</f>
        <v>1</v>
      </c>
    </row>
    <row r="36" spans="1:57" s="151" customFormat="1" ht="53.25" thickBot="1" x14ac:dyDescent="0.3">
      <c r="A36" s="446"/>
      <c r="B36" s="158" t="s">
        <v>65</v>
      </c>
      <c r="C36" s="155">
        <f t="shared" si="0"/>
        <v>3</v>
      </c>
      <c r="D36" s="155"/>
      <c r="E36" s="155" t="str">
        <f>+IF(AND(CALCULO!E33&lt;&gt;"", CALCULO!E33&gt;0), CALCULO!E33, "")</f>
        <v/>
      </c>
      <c r="F36" s="155">
        <f>+IF(AND(CALCULO!F33&lt;&gt;"", CALCULO!F33&gt;0), CALCULO!F33, 0)</f>
        <v>0</v>
      </c>
      <c r="G36" s="155">
        <f>+IF(AND(CALCULO!G33&lt;&gt;"", CALCULO!G33&gt;0), CALCULO!G33, 0)</f>
        <v>0</v>
      </c>
      <c r="H36" s="155">
        <f>+IF(AND(CALCULO!H33&lt;&gt;"", CALCULO!H33&gt;0), CALCULO!H33, 0)</f>
        <v>0</v>
      </c>
      <c r="I36" s="155">
        <f>+IF(AND(CALCULO!I33&lt;&gt;"", CALCULO!I33&gt;0), CALCULO!I33, 0)</f>
        <v>0</v>
      </c>
      <c r="J36" s="155">
        <f>+IF(AND(CALCULO!J33&lt;&gt;"", CALCULO!J33&gt;0), CALCULO!J33, 0)</f>
        <v>0</v>
      </c>
      <c r="K36" s="155">
        <f>+IF(AND(CALCULO!K33&lt;&gt;"",CALCULO!K33&gt;0),CALCULO!K33,0)</f>
        <v>0</v>
      </c>
      <c r="L36" s="155">
        <f>+IF(AND(CALCULO!L33&lt;&gt;"", CALCULO!L33&gt;0), CALCULO!L33, 0)</f>
        <v>0</v>
      </c>
      <c r="M36" s="155">
        <f>+IF(AND(CALCULO!M33&lt;&gt;"", CALCULO!M33&gt;0), CALCULO!M33, 0)</f>
        <v>0</v>
      </c>
      <c r="N36" s="155">
        <f>+IF(AND(CALCULO!N33&lt;&gt;"", CALCULO!N33&gt;0), CALCULO!N33, 0)</f>
        <v>0</v>
      </c>
      <c r="O36" s="155">
        <f>+IF(AND(CALCULO!O33&lt;&gt;"", CALCULO!O33&gt;0), CALCULO!O33, 0)</f>
        <v>0</v>
      </c>
      <c r="P36" s="155">
        <f>+IF(AND(CALCULO!P33&lt;&gt;"", CALCULO!P33&gt;0), CALCULO!P33, 0)</f>
        <v>0</v>
      </c>
      <c r="Q36" s="189">
        <f>+IF(AND(CALCULO!Q33&lt;&gt;"", CALCULO!Q33&gt;0), CALCULO!Q33, 0)</f>
        <v>0</v>
      </c>
      <c r="R36" s="189">
        <f>+IF(AND(CALCULO!R33&lt;&gt;"", CALCULO!R33&gt;0), CALCULO!R33, 0)</f>
        <v>0</v>
      </c>
      <c r="S36" s="189">
        <f>+IF(AND(CALCULO!S33&lt;&gt;"", CALCULO!S33&gt;0), CALCULO!S33, 0)</f>
        <v>0</v>
      </c>
      <c r="T36" s="189">
        <f>+IF(AND(CALCULO!T33&lt;&gt;"", CALCULO!T33&gt;0), CALCULO!T33, 0)</f>
        <v>0</v>
      </c>
      <c r="U36" s="189">
        <f>+IF(AND(CALCULO!U33&lt;&gt;"", CALCULO!U33&gt;0), CALCULO!U33, 0)</f>
        <v>1</v>
      </c>
      <c r="V36" s="189">
        <f>+IF(AND(CALCULO!V33&lt;&gt;"", CALCULO!V33&gt;0), CALCULO!V33, 0)</f>
        <v>0</v>
      </c>
      <c r="W36" s="189">
        <f>+IF(AND(CALCULO!W33&lt;&gt;"", CALCULO!W33&gt;0), CALCULO!W33, 0)</f>
        <v>0</v>
      </c>
      <c r="X36" s="189">
        <f>+IF(AND(CALCULO!X33&lt;&gt;"", CALCULO!X33&gt;0), CALCULO!X33, 0)</f>
        <v>0</v>
      </c>
      <c r="Y36" s="189">
        <f>+IF(AND(CALCULO!Y33&lt;&gt;"", CALCULO!Y33&gt;0), CALCULO!Y33, 0)</f>
        <v>1</v>
      </c>
      <c r="Z36" s="189">
        <f>+IF(AND(CALCULO!Z33&lt;&gt;"", CALCULO!Z33&gt;0), CALCULO!Z33, 0)</f>
        <v>0</v>
      </c>
      <c r="AA36" s="189">
        <f>+IF(AND(CALCULO!AA33&lt;&gt;"", CALCULO!AA33&gt;0), CALCULO!AA33, 0)</f>
        <v>0</v>
      </c>
      <c r="AB36" s="189">
        <f>+IF(AND(CALCULO!AB33&lt;&gt;"", CALCULO!AB33&gt;0), CALCULO!AB33, 0)</f>
        <v>0</v>
      </c>
      <c r="AC36" s="189">
        <f>+IF(AND(CALCULO!AC33&lt;&gt;"", CALCULO!AC33&gt;0), CALCULO!AC33, 0)</f>
        <v>0</v>
      </c>
      <c r="AD36" s="189">
        <f>+IF(AND(CALCULO!AD33&lt;&gt;"", CALCULO!AD33&gt;0), CALCULO!AD33, 0)</f>
        <v>0</v>
      </c>
      <c r="AE36" s="189">
        <f>+IF(AND(CALCULO!AE33&lt;&gt;"", CALCULO!AE33&gt;0), CALCULO!AE33, 0)</f>
        <v>1</v>
      </c>
      <c r="AF36" s="189">
        <f>+IF(AND(CALCULO!AF33&lt;&gt;"", CALCULO!AF33&gt;0), CALCULO!AF33, 0)</f>
        <v>0</v>
      </c>
      <c r="AG36" s="189">
        <f>+IF(AND(CALCULO!AG33&lt;&gt;"", CALCULO!AG33&gt;0), CALCULO!AG33, 0)</f>
        <v>0</v>
      </c>
      <c r="AH36" s="189">
        <f>+IF(AND(CALCULO!AH33&lt;&gt;"", CALCULO!AH33&gt;0), CALCULO!AH33, 0)</f>
        <v>0</v>
      </c>
      <c r="AI36" s="189">
        <f>+IF(AND(CALCULO!AI33&lt;&gt;"", CALCULO!AI33&gt;0), CALCULO!AI33, 0)</f>
        <v>0</v>
      </c>
      <c r="AJ36" s="189">
        <f>+IF(AND(CALCULO!AJ33&lt;&gt;"", CALCULO!AJ33&gt;0), CALCULO!AJ33, 0)</f>
        <v>0</v>
      </c>
      <c r="AK36" s="189">
        <f>+IF(AND(CALCULO!AK33&lt;&gt;"", CALCULO!AK33&gt;0), CALCULO!AK33, 0)</f>
        <v>0</v>
      </c>
      <c r="AL36" s="189">
        <f>+IF(AND(CALCULO!AL33&lt;&gt;"", CALCULO!AL33&gt;0), CALCULO!AL33, 0)</f>
        <v>0</v>
      </c>
      <c r="AM36" s="189">
        <f>+IF(AND(CALCULO!AM33&lt;&gt;"", CALCULO!AM33&gt;0), CALCULO!AM33, 0)</f>
        <v>0</v>
      </c>
      <c r="AN36" s="204">
        <f>+IF(AND(CALCULO!AN33&lt;&gt;"", CALCULO!AN33&gt;0), CALCULO!AN33, 0)</f>
        <v>0</v>
      </c>
      <c r="AO36" s="189">
        <f>+IF(AND(CALCULO!AO33&lt;&gt;"", CALCULO!AO33&gt;0), CALCULO!AO33, 0)</f>
        <v>0</v>
      </c>
      <c r="AP36" s="189">
        <f>+IF(AND(CALCULO!AP33&lt;&gt;"", CALCULO!AP33&gt;0), CALCULO!AP33, 0)</f>
        <v>0</v>
      </c>
      <c r="AQ36" s="189">
        <f>+IF(AND(CALCULO!AQ33&lt;&gt;"", CALCULO!AQ33&gt;0), CALCULO!AQ33, 0)</f>
        <v>0</v>
      </c>
      <c r="AR36" s="189">
        <f>+IF(AND(CALCULO!AT33&lt;&gt;"", CALCULO!AT33&gt;0), CALCULO!AT33, 0)</f>
        <v>0</v>
      </c>
      <c r="AS36" s="189">
        <f>+IF(AND(CALCULO!AU33&lt;&gt;"", CALCULO!AU33&gt;0), CALCULO!AU33, 0)</f>
        <v>0</v>
      </c>
      <c r="AT36" s="189">
        <f>+IF(AND(CALCULO!AR33&lt;&gt;"", CALCULO!AR33&gt;0), CALCULO!AR33, 0)</f>
        <v>0</v>
      </c>
      <c r="AU36" s="189">
        <f>+IF(AND(CALCULO!AS33&lt;&gt;"", CALCULO!AS33&gt;0), CALCULO!AS33, 0)</f>
        <v>0</v>
      </c>
      <c r="AV36" s="189">
        <f>+IF(AND(CALCULO!AW33&lt;&gt;"", CALCULO!AW33&gt;0), CALCULO!AW33, 0)</f>
        <v>0</v>
      </c>
      <c r="AW36" s="190">
        <f>+IF(AND(CALCULO!AX33&lt;&gt;"", CALCULO!AX33&gt;0), CALCULO!AX33, 0)</f>
        <v>0</v>
      </c>
      <c r="BE36" s="155" t="str">
        <f>+IF(AND(CALCULO!AV33&lt;&gt;"", CALCULO!AV33&gt;0), CALCULO!AV33, "0")</f>
        <v>0</v>
      </c>
    </row>
    <row r="37" spans="1:57" s="152" customFormat="1" ht="42.75" thickBot="1" x14ac:dyDescent="0.3">
      <c r="A37" s="446"/>
      <c r="B37" s="160" t="s">
        <v>66</v>
      </c>
      <c r="C37" s="161">
        <f t="shared" si="0"/>
        <v>315</v>
      </c>
      <c r="D37" s="161"/>
      <c r="E37" s="161">
        <f>+IF(AND(CALCULO!E34&lt;&gt;"", CALCULO!E34&gt;0), CALCULO!E34, "")</f>
        <v>254</v>
      </c>
      <c r="F37" s="155">
        <f>+IF(AND(CALCULO!F34&lt;&gt;"", CALCULO!F34&gt;0), CALCULO!F34, 0)</f>
        <v>0</v>
      </c>
      <c r="G37" s="155">
        <f>+IF(AND(CALCULO!G34&lt;&gt;"", CALCULO!G34&gt;0), CALCULO!G34, 0)</f>
        <v>0</v>
      </c>
      <c r="H37" s="155">
        <f>+IF(AND(CALCULO!H34&lt;&gt;"", CALCULO!H34&gt;0), CALCULO!H34, 0)</f>
        <v>0</v>
      </c>
      <c r="I37" s="155">
        <f>+IF(AND(CALCULO!I34&lt;&gt;"", CALCULO!I34&gt;0), CALCULO!I34, 0)</f>
        <v>0</v>
      </c>
      <c r="J37" s="155">
        <f>+IF(AND(CALCULO!J34&lt;&gt;"", CALCULO!J34&gt;0), CALCULO!J34, 0)</f>
        <v>1</v>
      </c>
      <c r="K37" s="155">
        <f>+IF(AND(CALCULO!K34&lt;&gt;"",CALCULO!K34&gt;0),CALCULO!K34,0)</f>
        <v>5</v>
      </c>
      <c r="L37" s="155">
        <f>+IF(AND(CALCULO!L34&lt;&gt;"", CALCULO!L34&gt;0), CALCULO!L34, 0)</f>
        <v>6</v>
      </c>
      <c r="M37" s="155">
        <f>+IF(AND(CALCULO!M34&lt;&gt;"", CALCULO!M34&gt;0), CALCULO!M34, 0)</f>
        <v>18</v>
      </c>
      <c r="N37" s="155">
        <f>+IF(AND(CALCULO!N34&lt;&gt;"", CALCULO!N34&gt;0), CALCULO!N34, 0)</f>
        <v>4</v>
      </c>
      <c r="O37" s="155">
        <f>+IF(AND(CALCULO!O34&lt;&gt;"", CALCULO!O34&gt;0), CALCULO!O34, 0)</f>
        <v>12</v>
      </c>
      <c r="P37" s="155">
        <f>+IF(AND(CALCULO!P34&lt;&gt;"", CALCULO!P34&gt;0), CALCULO!P34, 0)</f>
        <v>12</v>
      </c>
      <c r="Q37" s="189">
        <f>+IF(AND(CALCULO!Q34&lt;&gt;"", CALCULO!Q34&gt;0), CALCULO!Q34, 0)</f>
        <v>22</v>
      </c>
      <c r="R37" s="189">
        <f>+IF(AND(CALCULO!R34&lt;&gt;"", CALCULO!R34&gt;0), CALCULO!R34, 0)</f>
        <v>3</v>
      </c>
      <c r="S37" s="189">
        <f>+IF(AND(CALCULO!S34&lt;&gt;"", CALCULO!S34&gt;0), CALCULO!S34, 0)</f>
        <v>17</v>
      </c>
      <c r="T37" s="189">
        <f>+IF(AND(CALCULO!T34&lt;&gt;"", CALCULO!T34&gt;0), CALCULO!T34, 0)</f>
        <v>4</v>
      </c>
      <c r="U37" s="189">
        <f>+IF(AND(CALCULO!U34&lt;&gt;"", CALCULO!U34&gt;0), CALCULO!U34, 0)</f>
        <v>27</v>
      </c>
      <c r="V37" s="189">
        <f>+IF(AND(CALCULO!V34&lt;&gt;"", CALCULO!V34&gt;0), CALCULO!V34, 0)</f>
        <v>4</v>
      </c>
      <c r="W37" s="189">
        <f>+IF(AND(CALCULO!W34&lt;&gt;"", CALCULO!W34&gt;0), CALCULO!W34, 0)</f>
        <v>9</v>
      </c>
      <c r="X37" s="189">
        <f>+IF(AND(CALCULO!X34&lt;&gt;"", CALCULO!X34&gt;0), CALCULO!X34, 0)</f>
        <v>1</v>
      </c>
      <c r="Y37" s="189">
        <f>+IF(AND(CALCULO!Y34&lt;&gt;"", CALCULO!Y34&gt;0), CALCULO!Y34, 0)</f>
        <v>12</v>
      </c>
      <c r="Z37" s="189">
        <f>+IF(AND(CALCULO!Z34&lt;&gt;"", CALCULO!Z34&gt;0), CALCULO!Z34, 0)</f>
        <v>3</v>
      </c>
      <c r="AA37" s="189">
        <f>+IF(AND(CALCULO!AA34&lt;&gt;"", CALCULO!AA34&gt;0), CALCULO!AA34, 0)</f>
        <v>13</v>
      </c>
      <c r="AB37" s="189">
        <f>+IF(AND(CALCULO!AB34&lt;&gt;"", CALCULO!AB34&gt;0), CALCULO!AB34, 0)</f>
        <v>6</v>
      </c>
      <c r="AC37" s="189">
        <f>+IF(AND(CALCULO!AC34&lt;&gt;"", CALCULO!AC34&gt;0), CALCULO!AC34, 0)</f>
        <v>26</v>
      </c>
      <c r="AD37" s="189">
        <f>+IF(AND(CALCULO!AD34&lt;&gt;"", CALCULO!AD34&gt;0), CALCULO!AD34, 0)</f>
        <v>2</v>
      </c>
      <c r="AE37" s="189">
        <f>+IF(AND(CALCULO!AE34&lt;&gt;"", CALCULO!AE34&gt;0), CALCULO!AE34, 0)</f>
        <v>34</v>
      </c>
      <c r="AF37" s="189">
        <f>+IF(AND(CALCULO!AF34&lt;&gt;"", CALCULO!AF34&gt;0), CALCULO!AF34, 0)</f>
        <v>6</v>
      </c>
      <c r="AG37" s="189">
        <f>+IF(AND(CALCULO!AG34&lt;&gt;"", CALCULO!AG34&gt;0), CALCULO!AG34, 0)</f>
        <v>28</v>
      </c>
      <c r="AH37" s="189">
        <f>+IF(AND(CALCULO!AH34&lt;&gt;"", CALCULO!AH34&gt;0), CALCULO!AH34, 0)</f>
        <v>5</v>
      </c>
      <c r="AI37" s="189">
        <f>+IF(AND(CALCULO!AI34&lt;&gt;"", CALCULO!AI34&gt;0), CALCULO!AI34, 0)</f>
        <v>14</v>
      </c>
      <c r="AJ37" s="189">
        <f>+IF(AND(CALCULO!AJ34&lt;&gt;"", CALCULO!AJ34&gt;0), CALCULO!AJ34, 0)</f>
        <v>3</v>
      </c>
      <c r="AK37" s="189">
        <f>+IF(AND(CALCULO!AK34&lt;&gt;"", CALCULO!AK34&gt;0), CALCULO!AK34, 0)</f>
        <v>13</v>
      </c>
      <c r="AL37" s="189">
        <f>+IF(AND(CALCULO!AL34&lt;&gt;"", CALCULO!AL34&gt;0), CALCULO!AL34, 0)</f>
        <v>1</v>
      </c>
      <c r="AM37" s="189">
        <f>+IF(AND(CALCULO!AM34&lt;&gt;"", CALCULO!AM34&gt;0), CALCULO!AM34, 0)</f>
        <v>4</v>
      </c>
      <c r="AN37" s="204">
        <f>+IF(AND(CALCULO!AN34&lt;&gt;"", CALCULO!AN34&gt;0), CALCULO!AN34, 0)</f>
        <v>3</v>
      </c>
      <c r="AO37" s="189">
        <f>+IF(AND(CALCULO!AO34&lt;&gt;"", CALCULO!AO34&gt;0), CALCULO!AO34, 0)</f>
        <v>28</v>
      </c>
      <c r="AP37" s="189">
        <f>+IF(AND(CALCULO!AP34&lt;&gt;"", CALCULO!AP34&gt;0), CALCULO!AP34, 0)</f>
        <v>1</v>
      </c>
      <c r="AQ37" s="189">
        <f>+IF(AND(CALCULO!AQ34&lt;&gt;"", CALCULO!AQ34&gt;0), CALCULO!AQ34, 0)</f>
        <v>9</v>
      </c>
      <c r="AR37" s="189">
        <f>+IF(AND(CALCULO!AT34&lt;&gt;"", CALCULO!AT34&gt;0), CALCULO!AT34, 0)</f>
        <v>0</v>
      </c>
      <c r="AS37" s="189">
        <f>+IF(AND(CALCULO!AU34&lt;&gt;"", CALCULO!AU34&gt;0), CALCULO!AU34, 0)</f>
        <v>1</v>
      </c>
      <c r="AT37" s="189">
        <f>+IF(AND(CALCULO!AR34&lt;&gt;"", CALCULO!AR34&gt;0), CALCULO!AR34, 0)</f>
        <v>4</v>
      </c>
      <c r="AU37" s="189">
        <f>+IF(AND(CALCULO!AS34&lt;&gt;"", CALCULO!AS34&gt;0), CALCULO!AS34, 0)</f>
        <v>5</v>
      </c>
      <c r="AV37" s="189">
        <f>+IF(AND(CALCULO!AW34&lt;&gt;"", CALCULO!AW34&gt;0), CALCULO!AW34, 0)</f>
        <v>3</v>
      </c>
      <c r="AW37" s="190">
        <f>+IF(AND(CALCULO!AX34&lt;&gt;"", CALCULO!AX34&gt;0), CALCULO!AX34, 0)</f>
        <v>0</v>
      </c>
      <c r="BE37" s="155" t="str">
        <f>+IF(AND(CALCULO!AV34&lt;&gt;"", CALCULO!AV34&gt;0), CALCULO!AV34, "0")</f>
        <v>0</v>
      </c>
    </row>
    <row r="38" spans="1:57" s="151" customFormat="1" ht="15.75" thickBot="1" x14ac:dyDescent="0.3">
      <c r="A38" s="446" t="s">
        <v>67</v>
      </c>
      <c r="B38" s="153" t="s">
        <v>68</v>
      </c>
      <c r="C38" s="155">
        <f t="shared" si="0"/>
        <v>1</v>
      </c>
      <c r="D38" s="155"/>
      <c r="E38" s="155" t="str">
        <f>+IF(AND(CALCULO!E35&lt;&gt;"", CALCULO!E35&gt;0), CALCULO!E35, "")</f>
        <v/>
      </c>
      <c r="F38" s="338">
        <f>+IF(AND(CALCULO!F35&lt;&gt;"", CALCULO!F35&gt;0), CALCULO!F35, 0)</f>
        <v>0</v>
      </c>
      <c r="G38" s="338">
        <f>+IF(AND(CALCULO!G35&lt;&gt;"", CALCULO!G35&gt;0), CALCULO!G35, 0)</f>
        <v>0</v>
      </c>
      <c r="H38" s="338">
        <f>+IF(AND(CALCULO!H35&lt;&gt;"", CALCULO!H35&gt;0), CALCULO!H35, 0)</f>
        <v>0</v>
      </c>
      <c r="I38" s="338">
        <f>+IF(AND(CALCULO!I35&lt;&gt;"", CALCULO!I35&gt;0), CALCULO!I35, 0)</f>
        <v>0</v>
      </c>
      <c r="J38" s="338">
        <f>+IF(AND(CALCULO!J35&lt;&gt;"", CALCULO!J35&gt;0), CALCULO!J35, 0)</f>
        <v>0</v>
      </c>
      <c r="K38" s="338">
        <f>+IF(AND(CALCULO!K35&lt;&gt;"",CALCULO!K35&gt;0),CALCULO!K35,0)</f>
        <v>0</v>
      </c>
      <c r="L38" s="338">
        <f>+IF(AND(CALCULO!L35&lt;&gt;"", CALCULO!L35&gt;0), CALCULO!L35, 0)</f>
        <v>0</v>
      </c>
      <c r="M38" s="338">
        <f>+IF(AND(CALCULO!M35&lt;&gt;"", CALCULO!M35&gt;0), CALCULO!M35, 0)</f>
        <v>0</v>
      </c>
      <c r="N38" s="338">
        <f>+IF(AND(CALCULO!N35&lt;&gt;"", CALCULO!N35&gt;0), CALCULO!N35, 0)</f>
        <v>0</v>
      </c>
      <c r="O38" s="338">
        <f>+IF(AND(CALCULO!O35&lt;&gt;"", CALCULO!O35&gt;0), CALCULO!O35, 0)</f>
        <v>0</v>
      </c>
      <c r="P38" s="338">
        <f>+IF(AND(CALCULO!P35&lt;&gt;"", CALCULO!P35&gt;0), CALCULO!P35, 0)</f>
        <v>0</v>
      </c>
      <c r="Q38" s="336">
        <f>+IF(AND(CALCULO!Q35&lt;&gt;"", CALCULO!Q35&gt;0), CALCULO!Q35, 0)</f>
        <v>0</v>
      </c>
      <c r="R38" s="189">
        <f>+IF(AND(CALCULO!R35&lt;&gt;"", CALCULO!R35&gt;0), CALCULO!R35, 0)</f>
        <v>0</v>
      </c>
      <c r="S38" s="189">
        <f>+IF(AND(CALCULO!S35&lt;&gt;"", CALCULO!S35&gt;0), CALCULO!S35, 0)</f>
        <v>0</v>
      </c>
      <c r="T38" s="189">
        <f>+IF(AND(CALCULO!T35&lt;&gt;"", CALCULO!T35&gt;0), CALCULO!T35, 0)</f>
        <v>0</v>
      </c>
      <c r="U38" s="189">
        <f>+IF(AND(CALCULO!U35&lt;&gt;"", CALCULO!U35&gt;0), CALCULO!U35, 0)</f>
        <v>0</v>
      </c>
      <c r="V38" s="189">
        <f>+IF(AND(CALCULO!V35&lt;&gt;"", CALCULO!V35&gt;0), CALCULO!V35, 0)</f>
        <v>0</v>
      </c>
      <c r="W38" s="189">
        <f>+IF(AND(CALCULO!W35&lt;&gt;"", CALCULO!W35&gt;0), CALCULO!W35, 0)</f>
        <v>0</v>
      </c>
      <c r="X38" s="189">
        <f>+IF(AND(CALCULO!X35&lt;&gt;"", CALCULO!X35&gt;0), CALCULO!X35, 0)</f>
        <v>0</v>
      </c>
      <c r="Y38" s="189">
        <f>+IF(AND(CALCULO!Y35&lt;&gt;"", CALCULO!Y35&gt;0), CALCULO!Y35, 0)</f>
        <v>0</v>
      </c>
      <c r="Z38" s="189">
        <f>+IF(AND(CALCULO!Z35&lt;&gt;"", CALCULO!Z35&gt;0), CALCULO!Z35, 0)</f>
        <v>0</v>
      </c>
      <c r="AA38" s="189">
        <f>+IF(AND(CALCULO!AA35&lt;&gt;"", CALCULO!AA35&gt;0), CALCULO!AA35, 0)</f>
        <v>0</v>
      </c>
      <c r="AB38" s="189">
        <f>+IF(AND(CALCULO!AB35&lt;&gt;"", CALCULO!AB35&gt;0), CALCULO!AB35, 0)</f>
        <v>0</v>
      </c>
      <c r="AC38" s="189">
        <f>+IF(AND(CALCULO!AC35&lt;&gt;"", CALCULO!AC35&gt;0), CALCULO!AC35, 0)</f>
        <v>0</v>
      </c>
      <c r="AD38" s="189">
        <f>+IF(AND(CALCULO!AD35&lt;&gt;"", CALCULO!AD35&gt;0), CALCULO!AD35, 0)</f>
        <v>0</v>
      </c>
      <c r="AE38" s="189">
        <f>+IF(AND(CALCULO!AE35&lt;&gt;"", CALCULO!AE35&gt;0), CALCULO!AE35, 0)</f>
        <v>0</v>
      </c>
      <c r="AF38" s="189">
        <f>+IF(AND(CALCULO!AF35&lt;&gt;"", CALCULO!AF35&gt;0), CALCULO!AF35, 0)</f>
        <v>0</v>
      </c>
      <c r="AG38" s="189">
        <f>+IF(AND(CALCULO!AG35&lt;&gt;"", CALCULO!AG35&gt;0), CALCULO!AG35, 0)</f>
        <v>0</v>
      </c>
      <c r="AH38" s="189">
        <f>+IF(AND(CALCULO!AH35&lt;&gt;"", CALCULO!AH35&gt;0), CALCULO!AH35, 0)</f>
        <v>1</v>
      </c>
      <c r="AI38" s="189">
        <f>+IF(AND(CALCULO!AI35&lt;&gt;"", CALCULO!AI35&gt;0), CALCULO!AI35, 0)</f>
        <v>0</v>
      </c>
      <c r="AJ38" s="189">
        <f>+IF(AND(CALCULO!AJ35&lt;&gt;"", CALCULO!AJ35&gt;0), CALCULO!AJ35, 0)</f>
        <v>0</v>
      </c>
      <c r="AK38" s="189">
        <f>+IF(AND(CALCULO!AK35&lt;&gt;"", CALCULO!AK35&gt;0), CALCULO!AK35, 0)</f>
        <v>0</v>
      </c>
      <c r="AL38" s="189">
        <f>+IF(AND(CALCULO!AL35&lt;&gt;"", CALCULO!AL35&gt;0), CALCULO!AL35, 0)</f>
        <v>0</v>
      </c>
      <c r="AM38" s="189">
        <f>+IF(AND(CALCULO!AM35&lt;&gt;"", CALCULO!AM35&gt;0), CALCULO!AM35, 0)</f>
        <v>0</v>
      </c>
      <c r="AN38" s="279">
        <f>+IF(AND(CALCULO!AN35&lt;&gt;"", CALCULO!AN35&gt;0), CALCULO!AN35, 0)</f>
        <v>0</v>
      </c>
      <c r="AO38" s="275">
        <f>+IF(AND(CALCULO!AO35&lt;&gt;"", CALCULO!AO35&gt;0), CALCULO!AO35, 0)</f>
        <v>0</v>
      </c>
      <c r="AP38" s="189">
        <f>+IF(AND(CALCULO!AP35&lt;&gt;"", CALCULO!AP35&gt;0), CALCULO!AP35, 0)</f>
        <v>0</v>
      </c>
      <c r="AQ38" s="189">
        <f>+IF(AND(CALCULO!AQ35&lt;&gt;"", CALCULO!AQ35&gt;0), CALCULO!AQ35, 0)</f>
        <v>0</v>
      </c>
      <c r="AR38" s="336">
        <f>+IF(AND(CALCULO!AT35&lt;&gt;"", CALCULO!AT35&gt;0), CALCULO!AT35, 0)</f>
        <v>0</v>
      </c>
      <c r="AS38" s="336">
        <f>+IF(AND(CALCULO!AU35&lt;&gt;"", CALCULO!AU35&gt;0), CALCULO!AU35, 0)</f>
        <v>0</v>
      </c>
      <c r="AT38" s="189">
        <f>+IF(AND(CALCULO!AR35&lt;&gt;"", CALCULO!AR35&gt;0), CALCULO!AR35, 0)</f>
        <v>0</v>
      </c>
      <c r="AU38" s="189">
        <f>+IF(AND(CALCULO!AS35&lt;&gt;"", CALCULO!AS35&gt;0), CALCULO!AS35, 0)</f>
        <v>0</v>
      </c>
      <c r="AV38" s="189">
        <f>+IF(AND(CALCULO!AW35&lt;&gt;"", CALCULO!AW35&gt;0), CALCULO!AW35, 0)</f>
        <v>0</v>
      </c>
      <c r="AW38" s="190">
        <f>+IF(AND(CALCULO!AX35&lt;&gt;"", CALCULO!AX35&gt;0), CALCULO!AX35, 0)</f>
        <v>0</v>
      </c>
      <c r="BE38" s="155" t="str">
        <f>+IF(AND(CALCULO!AV35&lt;&gt;"", CALCULO!AV35&gt;0), CALCULO!AV35, "0")</f>
        <v>0</v>
      </c>
    </row>
    <row r="39" spans="1:57" s="151" customFormat="1" ht="15.75" thickBot="1" x14ac:dyDescent="0.3">
      <c r="A39" s="446"/>
      <c r="B39" s="153" t="s">
        <v>69</v>
      </c>
      <c r="C39" s="155">
        <f t="shared" si="0"/>
        <v>4</v>
      </c>
      <c r="D39" s="155"/>
      <c r="E39" s="155" t="str">
        <f>+IF(AND(CALCULO!E36&lt;&gt;"", CALCULO!E36&gt;0), CALCULO!E36, "")</f>
        <v/>
      </c>
      <c r="F39" s="338">
        <f>+IF(AND(CALCULO!F36&lt;&gt;"", CALCULO!F36&gt;0), CALCULO!F36, 0)</f>
        <v>0</v>
      </c>
      <c r="G39" s="338">
        <f>+IF(AND(CALCULO!G36&lt;&gt;"", CALCULO!G36&gt;0), CALCULO!G36, 0)</f>
        <v>0</v>
      </c>
      <c r="H39" s="338">
        <f>+IF(AND(CALCULO!H36&lt;&gt;"", CALCULO!H36&gt;0), CALCULO!H36, 0)</f>
        <v>0</v>
      </c>
      <c r="I39" s="338">
        <f>+IF(AND(CALCULO!I36&lt;&gt;"", CALCULO!I36&gt;0), CALCULO!I36, 0)</f>
        <v>0</v>
      </c>
      <c r="J39" s="338">
        <f>+IF(AND(CALCULO!J36&lt;&gt;"", CALCULO!J36&gt;0), CALCULO!J36, 0)</f>
        <v>0</v>
      </c>
      <c r="K39" s="338">
        <f>+IF(AND(CALCULO!K36&lt;&gt;"",CALCULO!K36&gt;0),CALCULO!K36,0)</f>
        <v>0</v>
      </c>
      <c r="L39" s="338">
        <f>+IF(AND(CALCULO!L36&lt;&gt;"", CALCULO!L36&gt;0), CALCULO!L36, 0)</f>
        <v>0</v>
      </c>
      <c r="M39" s="338">
        <f>+IF(AND(CALCULO!M36&lt;&gt;"", CALCULO!M36&gt;0), CALCULO!M36, 0)</f>
        <v>0</v>
      </c>
      <c r="N39" s="338">
        <f>+IF(AND(CALCULO!N36&lt;&gt;"", CALCULO!N36&gt;0), CALCULO!N36, 0)</f>
        <v>0</v>
      </c>
      <c r="O39" s="338">
        <f>+IF(AND(CALCULO!O36&lt;&gt;"", CALCULO!O36&gt;0), CALCULO!O36, 0)</f>
        <v>0</v>
      </c>
      <c r="P39" s="338">
        <f>+IF(AND(CALCULO!P36&lt;&gt;"", CALCULO!P36&gt;0), CALCULO!P36, 0)</f>
        <v>0</v>
      </c>
      <c r="Q39" s="336">
        <f>+IF(AND(CALCULO!Q36&lt;&gt;"", CALCULO!Q36&gt;0), CALCULO!Q36, 0)</f>
        <v>0</v>
      </c>
      <c r="R39" s="189">
        <f>+IF(AND(CALCULO!R36&lt;&gt;"", CALCULO!R36&gt;0), CALCULO!R36, 0)</f>
        <v>0</v>
      </c>
      <c r="S39" s="189">
        <f>+IF(AND(CALCULO!S36&lt;&gt;"", CALCULO!S36&gt;0), CALCULO!S36, 0)</f>
        <v>0</v>
      </c>
      <c r="T39" s="189">
        <f>+IF(AND(CALCULO!T36&lt;&gt;"", CALCULO!T36&gt;0), CALCULO!T36, 0)</f>
        <v>0</v>
      </c>
      <c r="U39" s="189">
        <f>+IF(AND(CALCULO!U36&lt;&gt;"", CALCULO!U36&gt;0), CALCULO!U36, 0)</f>
        <v>0</v>
      </c>
      <c r="V39" s="189">
        <f>+IF(AND(CALCULO!V36&lt;&gt;"", CALCULO!V36&gt;0), CALCULO!V36, 0)</f>
        <v>0</v>
      </c>
      <c r="W39" s="189">
        <f>+IF(AND(CALCULO!W36&lt;&gt;"", CALCULO!W36&gt;0), CALCULO!W36, 0)</f>
        <v>0</v>
      </c>
      <c r="X39" s="189">
        <f>+IF(AND(CALCULO!X36&lt;&gt;"", CALCULO!X36&gt;0), CALCULO!X36, 0)</f>
        <v>1</v>
      </c>
      <c r="Y39" s="189">
        <f>+IF(AND(CALCULO!Y36&lt;&gt;"", CALCULO!Y36&gt;0), CALCULO!Y36, 0)</f>
        <v>0</v>
      </c>
      <c r="Z39" s="189">
        <f>+IF(AND(CALCULO!Z36&lt;&gt;"", CALCULO!Z36&gt;0), CALCULO!Z36, 0)</f>
        <v>0</v>
      </c>
      <c r="AA39" s="189">
        <f>+IF(AND(CALCULO!AA36&lt;&gt;"", CALCULO!AA36&gt;0), CALCULO!AA36, 0)</f>
        <v>0</v>
      </c>
      <c r="AB39" s="189">
        <f>+IF(AND(CALCULO!AB36&lt;&gt;"", CALCULO!AB36&gt;0), CALCULO!AB36, 0)</f>
        <v>0</v>
      </c>
      <c r="AC39" s="189">
        <f>+IF(AND(CALCULO!AC36&lt;&gt;"", CALCULO!AC36&gt;0), CALCULO!AC36, 0)</f>
        <v>0</v>
      </c>
      <c r="AD39" s="189">
        <f>+IF(AND(CALCULO!AD36&lt;&gt;"", CALCULO!AD36&gt;0), CALCULO!AD36, 0)</f>
        <v>0</v>
      </c>
      <c r="AE39" s="189">
        <f>+IF(AND(CALCULO!AE36&lt;&gt;"", CALCULO!AE36&gt;0), CALCULO!AE36, 0)</f>
        <v>0</v>
      </c>
      <c r="AF39" s="189">
        <f>+IF(AND(CALCULO!AF36&lt;&gt;"", CALCULO!AF36&gt;0), CALCULO!AF36, 0)</f>
        <v>1</v>
      </c>
      <c r="AG39" s="189">
        <f>+IF(AND(CALCULO!AG36&lt;&gt;"", CALCULO!AG36&gt;0), CALCULO!AG36, 0)</f>
        <v>0</v>
      </c>
      <c r="AH39" s="189">
        <f>+IF(AND(CALCULO!AH36&lt;&gt;"", CALCULO!AH36&gt;0), CALCULO!AH36, 0)</f>
        <v>0</v>
      </c>
      <c r="AI39" s="189">
        <f>+IF(AND(CALCULO!AI36&lt;&gt;"", CALCULO!AI36&gt;0), CALCULO!AI36, 0)</f>
        <v>0</v>
      </c>
      <c r="AJ39" s="189">
        <f>+IF(AND(CALCULO!AJ36&lt;&gt;"", CALCULO!AJ36&gt;0), CALCULO!AJ36, 0)</f>
        <v>0</v>
      </c>
      <c r="AK39" s="189">
        <f>+IF(AND(CALCULO!AK36&lt;&gt;"", CALCULO!AK36&gt;0), CALCULO!AK36, 0)</f>
        <v>0</v>
      </c>
      <c r="AL39" s="189">
        <f>+IF(AND(CALCULO!AL36&lt;&gt;"", CALCULO!AL36&gt;0), CALCULO!AL36, 0)</f>
        <v>2</v>
      </c>
      <c r="AM39" s="189">
        <f>+IF(AND(CALCULO!AM36&lt;&gt;"", CALCULO!AM36&gt;0), CALCULO!AM36, 0)</f>
        <v>0</v>
      </c>
      <c r="AN39" s="279">
        <f>+IF(AND(CALCULO!AN36&lt;&gt;"", CALCULO!AN36&gt;0), CALCULO!AN36, 0)</f>
        <v>0</v>
      </c>
      <c r="AO39" s="275">
        <f>+IF(AND(CALCULO!AO36&lt;&gt;"", CALCULO!AO36&gt;0), CALCULO!AO36, 0)</f>
        <v>0</v>
      </c>
      <c r="AP39" s="189">
        <f>+IF(AND(CALCULO!AP36&lt;&gt;"", CALCULO!AP36&gt;0), CALCULO!AP36, 0)</f>
        <v>0</v>
      </c>
      <c r="AQ39" s="189">
        <f>+IF(AND(CALCULO!AQ36&lt;&gt;"", CALCULO!AQ36&gt;0), CALCULO!AQ36, 0)</f>
        <v>0</v>
      </c>
      <c r="AR39" s="336">
        <f>+IF(AND(CALCULO!AT36&lt;&gt;"", CALCULO!AT36&gt;0), CALCULO!AT36, 0)</f>
        <v>0</v>
      </c>
      <c r="AS39" s="336">
        <f>+IF(AND(CALCULO!AU36&lt;&gt;"", CALCULO!AU36&gt;0), CALCULO!AU36, 0)</f>
        <v>0</v>
      </c>
      <c r="AT39" s="189">
        <f>+IF(AND(CALCULO!AR36&lt;&gt;"", CALCULO!AR36&gt;0), CALCULO!AR36, 0)</f>
        <v>0</v>
      </c>
      <c r="AU39" s="189">
        <f>+IF(AND(CALCULO!AS36&lt;&gt;"", CALCULO!AS36&gt;0), CALCULO!AS36, 0)</f>
        <v>0</v>
      </c>
      <c r="AV39" s="189">
        <f>+IF(AND(CALCULO!AW36&lt;&gt;"", CALCULO!AW36&gt;0), CALCULO!AW36, 0)</f>
        <v>0</v>
      </c>
      <c r="AW39" s="190">
        <f>+IF(AND(CALCULO!AX36&lt;&gt;"", CALCULO!AX36&gt;0), CALCULO!AX36, 0)</f>
        <v>0</v>
      </c>
      <c r="BE39" s="155" t="str">
        <f>+IF(AND(CALCULO!AV36&lt;&gt;"", CALCULO!AV36&gt;0), CALCULO!AV36, "0")</f>
        <v>0</v>
      </c>
    </row>
    <row r="40" spans="1:57" s="151" customFormat="1" ht="15.75" thickBot="1" x14ac:dyDescent="0.3">
      <c r="A40" s="446"/>
      <c r="B40" s="153" t="s">
        <v>70</v>
      </c>
      <c r="C40" s="155">
        <f t="shared" si="0"/>
        <v>0</v>
      </c>
      <c r="D40" s="155"/>
      <c r="E40" s="155" t="str">
        <f>+IF(AND(CALCULO!E37&lt;&gt;"", CALCULO!E37&gt;0), CALCULO!E37, "")</f>
        <v/>
      </c>
      <c r="F40" s="338">
        <f>+IF(AND(CALCULO!F37&lt;&gt;"", CALCULO!F37&gt;0), CALCULO!F37, 0)</f>
        <v>0</v>
      </c>
      <c r="G40" s="338">
        <f>+IF(AND(CALCULO!G37&lt;&gt;"", CALCULO!G37&gt;0), CALCULO!G37, 0)</f>
        <v>0</v>
      </c>
      <c r="H40" s="338">
        <f>+IF(AND(CALCULO!H37&lt;&gt;"", CALCULO!H37&gt;0), CALCULO!H37, 0)</f>
        <v>0</v>
      </c>
      <c r="I40" s="338">
        <f>+IF(AND(CALCULO!I37&lt;&gt;"", CALCULO!I37&gt;0), CALCULO!I37, 0)</f>
        <v>0</v>
      </c>
      <c r="J40" s="338">
        <f>+IF(AND(CALCULO!J37&lt;&gt;"", CALCULO!J37&gt;0), CALCULO!J37, 0)</f>
        <v>0</v>
      </c>
      <c r="K40" s="338">
        <f>+IF(AND(CALCULO!K37&lt;&gt;"",CALCULO!K37&gt;0),CALCULO!K37,0)</f>
        <v>0</v>
      </c>
      <c r="L40" s="338">
        <f>+IF(AND(CALCULO!L37&lt;&gt;"", CALCULO!L37&gt;0), CALCULO!L37, 0)</f>
        <v>0</v>
      </c>
      <c r="M40" s="338">
        <f>+IF(AND(CALCULO!M37&lt;&gt;"", CALCULO!M37&gt;0), CALCULO!M37, 0)</f>
        <v>0</v>
      </c>
      <c r="N40" s="338">
        <f>+IF(AND(CALCULO!N37&lt;&gt;"", CALCULO!N37&gt;0), CALCULO!N37, 0)</f>
        <v>0</v>
      </c>
      <c r="O40" s="338">
        <f>+IF(AND(CALCULO!O37&lt;&gt;"", CALCULO!O37&gt;0), CALCULO!O37, 0)</f>
        <v>0</v>
      </c>
      <c r="P40" s="338">
        <f>+IF(AND(CALCULO!P37&lt;&gt;"", CALCULO!P37&gt;0), CALCULO!P37, 0)</f>
        <v>0</v>
      </c>
      <c r="Q40" s="336">
        <f>+IF(AND(CALCULO!Q37&lt;&gt;"", CALCULO!Q37&gt;0), CALCULO!Q37, 0)</f>
        <v>0</v>
      </c>
      <c r="R40" s="189">
        <f>+IF(AND(CALCULO!R37&lt;&gt;"", CALCULO!R37&gt;0), CALCULO!R37, 0)</f>
        <v>0</v>
      </c>
      <c r="S40" s="189">
        <f>+IF(AND(CALCULO!S37&lt;&gt;"", CALCULO!S37&gt;0), CALCULO!S37, 0)</f>
        <v>0</v>
      </c>
      <c r="T40" s="189">
        <f>+IF(AND(CALCULO!T37&lt;&gt;"", CALCULO!T37&gt;0), CALCULO!T37, 0)</f>
        <v>0</v>
      </c>
      <c r="U40" s="189">
        <f>+IF(AND(CALCULO!U37&lt;&gt;"", CALCULO!U37&gt;0), CALCULO!U37, 0)</f>
        <v>0</v>
      </c>
      <c r="V40" s="189">
        <f>+IF(AND(CALCULO!V37&lt;&gt;"", CALCULO!V37&gt;0), CALCULO!V37, 0)</f>
        <v>0</v>
      </c>
      <c r="W40" s="189">
        <f>+IF(AND(CALCULO!W37&lt;&gt;"", CALCULO!W37&gt;0), CALCULO!W37, 0)</f>
        <v>0</v>
      </c>
      <c r="X40" s="189">
        <f>+IF(AND(CALCULO!X37&lt;&gt;"", CALCULO!X37&gt;0), CALCULO!X37, 0)</f>
        <v>0</v>
      </c>
      <c r="Y40" s="189">
        <f>+IF(AND(CALCULO!Y37&lt;&gt;"", CALCULO!Y37&gt;0), CALCULO!Y37, 0)</f>
        <v>0</v>
      </c>
      <c r="Z40" s="189">
        <f>+IF(AND(CALCULO!Z37&lt;&gt;"", CALCULO!Z37&gt;0), CALCULO!Z37, 0)</f>
        <v>0</v>
      </c>
      <c r="AA40" s="189">
        <f>+IF(AND(CALCULO!AA37&lt;&gt;"", CALCULO!AA37&gt;0), CALCULO!AA37, 0)</f>
        <v>0</v>
      </c>
      <c r="AB40" s="189">
        <f>+IF(AND(CALCULO!AB37&lt;&gt;"", CALCULO!AB37&gt;0), CALCULO!AB37, 0)</f>
        <v>0</v>
      </c>
      <c r="AC40" s="189">
        <f>+IF(AND(CALCULO!AC37&lt;&gt;"", CALCULO!AC37&gt;0), CALCULO!AC37, 0)</f>
        <v>0</v>
      </c>
      <c r="AD40" s="189">
        <f>+IF(AND(CALCULO!AD37&lt;&gt;"", CALCULO!AD37&gt;0), CALCULO!AD37, 0)</f>
        <v>0</v>
      </c>
      <c r="AE40" s="189">
        <f>+IF(AND(CALCULO!AE37&lt;&gt;"", CALCULO!AE37&gt;0), CALCULO!AE37, 0)</f>
        <v>0</v>
      </c>
      <c r="AF40" s="189">
        <f>+IF(AND(CALCULO!AF37&lt;&gt;"", CALCULO!AF37&gt;0), CALCULO!AF37, 0)</f>
        <v>0</v>
      </c>
      <c r="AG40" s="189">
        <f>+IF(AND(CALCULO!AG37&lt;&gt;"", CALCULO!AG37&gt;0), CALCULO!AG37, 0)</f>
        <v>0</v>
      </c>
      <c r="AH40" s="189">
        <f>+IF(AND(CALCULO!AH37&lt;&gt;"", CALCULO!AH37&gt;0), CALCULO!AH37, 0)</f>
        <v>0</v>
      </c>
      <c r="AI40" s="189">
        <f>+IF(AND(CALCULO!AI37&lt;&gt;"", CALCULO!AI37&gt;0), CALCULO!AI37, 0)</f>
        <v>0</v>
      </c>
      <c r="AJ40" s="189">
        <f>+IF(AND(CALCULO!AJ37&lt;&gt;"", CALCULO!AJ37&gt;0), CALCULO!AJ37, 0)</f>
        <v>0</v>
      </c>
      <c r="AK40" s="189">
        <f>+IF(AND(CALCULO!AK37&lt;&gt;"", CALCULO!AK37&gt;0), CALCULO!AK37, 0)</f>
        <v>0</v>
      </c>
      <c r="AL40" s="189">
        <f>+IF(AND(CALCULO!AL37&lt;&gt;"", CALCULO!AL37&gt;0), CALCULO!AL37, 0)</f>
        <v>0</v>
      </c>
      <c r="AM40" s="189">
        <f>+IF(AND(CALCULO!AM37&lt;&gt;"", CALCULO!AM37&gt;0), CALCULO!AM37, 0)</f>
        <v>0</v>
      </c>
      <c r="AN40" s="279">
        <f>+IF(AND(CALCULO!AN37&lt;&gt;"", CALCULO!AN37&gt;0), CALCULO!AN37, 0)</f>
        <v>0</v>
      </c>
      <c r="AO40" s="275">
        <f>+IF(AND(CALCULO!AO37&lt;&gt;"", CALCULO!AO37&gt;0), CALCULO!AO37, 0)</f>
        <v>0</v>
      </c>
      <c r="AP40" s="189">
        <f>+IF(AND(CALCULO!AP37&lt;&gt;"", CALCULO!AP37&gt;0), CALCULO!AP37, 0)</f>
        <v>0</v>
      </c>
      <c r="AQ40" s="189">
        <f>+IF(AND(CALCULO!AQ37&lt;&gt;"", CALCULO!AQ37&gt;0), CALCULO!AQ37, 0)</f>
        <v>0</v>
      </c>
      <c r="AR40" s="336">
        <f>+IF(AND(CALCULO!AT37&lt;&gt;"", CALCULO!AT37&gt;0), CALCULO!AT37, 0)</f>
        <v>0</v>
      </c>
      <c r="AS40" s="336">
        <f>+IF(AND(CALCULO!AU37&lt;&gt;"", CALCULO!AU37&gt;0), CALCULO!AU37, 0)</f>
        <v>0</v>
      </c>
      <c r="AT40" s="189">
        <f>+IF(AND(CALCULO!AR37&lt;&gt;"", CALCULO!AR37&gt;0), CALCULO!AR37, 0)</f>
        <v>0</v>
      </c>
      <c r="AU40" s="189">
        <f>+IF(AND(CALCULO!AS37&lt;&gt;"", CALCULO!AS37&gt;0), CALCULO!AS37, 0)</f>
        <v>0</v>
      </c>
      <c r="AV40" s="189">
        <f>+IF(AND(CALCULO!AW37&lt;&gt;"", CALCULO!AW37&gt;0), CALCULO!AW37, 0)</f>
        <v>0</v>
      </c>
      <c r="AW40" s="190">
        <f>+IF(AND(CALCULO!AX37&lt;&gt;"", CALCULO!AX37&gt;0), CALCULO!AX37, 0)</f>
        <v>0</v>
      </c>
      <c r="BE40" s="155" t="str">
        <f>+IF(AND(CALCULO!AV37&lt;&gt;"", CALCULO!AV37&gt;0), CALCULO!AV37, "0")</f>
        <v>0</v>
      </c>
    </row>
    <row r="41" spans="1:57" s="151" customFormat="1" ht="15.75" thickBot="1" x14ac:dyDescent="0.3">
      <c r="A41" s="449" t="s">
        <v>71</v>
      </c>
      <c r="B41" s="449"/>
      <c r="C41" s="155">
        <f t="shared" si="0"/>
        <v>0</v>
      </c>
      <c r="D41" s="155"/>
      <c r="E41" s="155" t="str">
        <f>+IF(AND(CALCULO!E38&lt;&gt;"", CALCULO!E38&gt;0), CALCULO!E38, "")</f>
        <v/>
      </c>
      <c r="F41" s="155">
        <f>+IF(AND(CALCULO!F38&lt;&gt;"", CALCULO!F38&gt;0), CALCULO!F38, 0)</f>
        <v>0</v>
      </c>
      <c r="G41" s="155">
        <f>+IF(AND(CALCULO!G38&lt;&gt;"", CALCULO!G38&gt;0), CALCULO!G38, 0)</f>
        <v>0</v>
      </c>
      <c r="H41" s="155">
        <f>+IF(AND(CALCULO!H38&lt;&gt;"", CALCULO!H38&gt;0), CALCULO!H38, 0)</f>
        <v>0</v>
      </c>
      <c r="I41" s="155">
        <f>+IF(AND(CALCULO!I38&lt;&gt;"", CALCULO!I38&gt;0), CALCULO!I38, 0)</f>
        <v>0</v>
      </c>
      <c r="J41" s="155">
        <f>+IF(AND(CALCULO!J38&lt;&gt;"", CALCULO!J38&gt;0), CALCULO!J38, 0)</f>
        <v>0</v>
      </c>
      <c r="K41" s="155">
        <f>+IF(AND(CALCULO!K38&lt;&gt;"",CALCULO!K38&gt;0),CALCULO!K38,0)</f>
        <v>0</v>
      </c>
      <c r="L41" s="155">
        <f>+IF(AND(CALCULO!L38&lt;&gt;"", CALCULO!L38&gt;0), CALCULO!L38, 0)</f>
        <v>0</v>
      </c>
      <c r="M41" s="155">
        <f>+IF(AND(CALCULO!M38&lt;&gt;"", CALCULO!M38&gt;0), CALCULO!M38, 0)</f>
        <v>0</v>
      </c>
      <c r="N41" s="155">
        <f>+IF(AND(CALCULO!N38&lt;&gt;"", CALCULO!N38&gt;0), CALCULO!N38, 0)</f>
        <v>0</v>
      </c>
      <c r="O41" s="155">
        <f>+IF(AND(CALCULO!O38&lt;&gt;"", CALCULO!O38&gt;0), CALCULO!O38, 0)</f>
        <v>0</v>
      </c>
      <c r="P41" s="155">
        <f>+IF(AND(CALCULO!P38&lt;&gt;"", CALCULO!P38&gt;0), CALCULO!P38, 0)</f>
        <v>0</v>
      </c>
      <c r="Q41" s="189">
        <f>+IF(AND(CALCULO!Q38&lt;&gt;"", CALCULO!Q38&gt;0), CALCULO!Q38, 0)</f>
        <v>0</v>
      </c>
      <c r="R41" s="189">
        <f>+IF(AND(CALCULO!R38&lt;&gt;"", CALCULO!R38&gt;0), CALCULO!R38, 0)</f>
        <v>0</v>
      </c>
      <c r="S41" s="189">
        <f>+IF(AND(CALCULO!S38&lt;&gt;"", CALCULO!S38&gt;0), CALCULO!S38, 0)</f>
        <v>0</v>
      </c>
      <c r="T41" s="189">
        <f>+IF(AND(CALCULO!T38&lt;&gt;"", CALCULO!T38&gt;0), CALCULO!T38, 0)</f>
        <v>0</v>
      </c>
      <c r="U41" s="189">
        <f>+IF(AND(CALCULO!U38&lt;&gt;"", CALCULO!U38&gt;0), CALCULO!U38, 0)</f>
        <v>0</v>
      </c>
      <c r="V41" s="189">
        <f>+IF(AND(CALCULO!V38&lt;&gt;"", CALCULO!V38&gt;0), CALCULO!V38, 0)</f>
        <v>0</v>
      </c>
      <c r="W41" s="189">
        <f>+IF(AND(CALCULO!W38&lt;&gt;"", CALCULO!W38&gt;0), CALCULO!W38, 0)</f>
        <v>0</v>
      </c>
      <c r="X41" s="189">
        <f>+IF(AND(CALCULO!X38&lt;&gt;"", CALCULO!X38&gt;0), CALCULO!X38, 0)</f>
        <v>0</v>
      </c>
      <c r="Y41" s="189">
        <f>+IF(AND(CALCULO!Y38&lt;&gt;"", CALCULO!Y38&gt;0), CALCULO!Y38, 0)</f>
        <v>0</v>
      </c>
      <c r="Z41" s="189">
        <f>+IF(AND(CALCULO!Z38&lt;&gt;"", CALCULO!Z38&gt;0), CALCULO!Z38, 0)</f>
        <v>0</v>
      </c>
      <c r="AA41" s="189">
        <f>+IF(AND(CALCULO!AA38&lt;&gt;"", CALCULO!AA38&gt;0), CALCULO!AA38, 0)</f>
        <v>0</v>
      </c>
      <c r="AB41" s="189">
        <f>+IF(AND(CALCULO!AB38&lt;&gt;"", CALCULO!AB38&gt;0), CALCULO!AB38, 0)</f>
        <v>0</v>
      </c>
      <c r="AC41" s="189">
        <f>+IF(AND(CALCULO!AC38&lt;&gt;"", CALCULO!AC38&gt;0), CALCULO!AC38, 0)</f>
        <v>0</v>
      </c>
      <c r="AD41" s="189">
        <f>+IF(AND(CALCULO!AD38&lt;&gt;"", CALCULO!AD38&gt;0), CALCULO!AD38, 0)</f>
        <v>0</v>
      </c>
      <c r="AE41" s="189">
        <f>+IF(AND(CALCULO!AE38&lt;&gt;"", CALCULO!AE38&gt;0), CALCULO!AE38, 0)</f>
        <v>0</v>
      </c>
      <c r="AF41" s="189">
        <f>+IF(AND(CALCULO!AF38&lt;&gt;"", CALCULO!AF38&gt;0), CALCULO!AF38, 0)</f>
        <v>0</v>
      </c>
      <c r="AG41" s="189">
        <f>+IF(AND(CALCULO!AG38&lt;&gt;"", CALCULO!AG38&gt;0), CALCULO!AG38, 0)</f>
        <v>0</v>
      </c>
      <c r="AH41" s="189">
        <f>+IF(AND(CALCULO!AH38&lt;&gt;"", CALCULO!AH38&gt;0), CALCULO!AH38, 0)</f>
        <v>0</v>
      </c>
      <c r="AI41" s="189">
        <f>+IF(AND(CALCULO!AI38&lt;&gt;"", CALCULO!AI38&gt;0), CALCULO!AI38, 0)</f>
        <v>0</v>
      </c>
      <c r="AJ41" s="189">
        <f>+IF(AND(CALCULO!AJ38&lt;&gt;"", CALCULO!AJ38&gt;0), CALCULO!AJ38, 0)</f>
        <v>0</v>
      </c>
      <c r="AK41" s="189">
        <f>+IF(AND(CALCULO!AK38&lt;&gt;"", CALCULO!AK38&gt;0), CALCULO!AK38, 0)</f>
        <v>0</v>
      </c>
      <c r="AL41" s="189">
        <f>+IF(AND(CALCULO!AL38&lt;&gt;"", CALCULO!AL38&gt;0), CALCULO!AL38, 0)</f>
        <v>0</v>
      </c>
      <c r="AM41" s="189">
        <f>+IF(AND(CALCULO!AM38&lt;&gt;"", CALCULO!AM38&gt;0), CALCULO!AM38, 0)</f>
        <v>0</v>
      </c>
      <c r="AN41" s="204">
        <f>+IF(AND(CALCULO!AN38&lt;&gt;"", CALCULO!AN38&gt;0), CALCULO!AN38, 0)</f>
        <v>0</v>
      </c>
      <c r="AO41" s="189">
        <f>+IF(AND(CALCULO!AO38&lt;&gt;"", CALCULO!AO38&gt;0), CALCULO!AO38, 0)</f>
        <v>0</v>
      </c>
      <c r="AP41" s="189">
        <f>+IF(AND(CALCULO!AP38&lt;&gt;"", CALCULO!AP38&gt;0), CALCULO!AP38, 0)</f>
        <v>0</v>
      </c>
      <c r="AQ41" s="189">
        <f>+IF(AND(CALCULO!AQ38&lt;&gt;"", CALCULO!AQ38&gt;0), CALCULO!AQ38, 0)</f>
        <v>0</v>
      </c>
      <c r="AR41" s="189">
        <f>+IF(AND(CALCULO!AT38&lt;&gt;"", CALCULO!AT38&gt;0), CALCULO!AT38, 0)</f>
        <v>0</v>
      </c>
      <c r="AS41" s="189">
        <f>+IF(AND(CALCULO!AU38&lt;&gt;"", CALCULO!AU38&gt;0), CALCULO!AU38, 0)</f>
        <v>0</v>
      </c>
      <c r="AT41" s="189">
        <f>+IF(AND(CALCULO!AR38&lt;&gt;"", CALCULO!AR38&gt;0), CALCULO!AR38, 0)</f>
        <v>0</v>
      </c>
      <c r="AU41" s="189">
        <f>+IF(AND(CALCULO!AS38&lt;&gt;"", CALCULO!AS38&gt;0), CALCULO!AS38, 0)</f>
        <v>0</v>
      </c>
      <c r="AV41" s="189">
        <f>+IF(AND(CALCULO!AW38&lt;&gt;"", CALCULO!AW38&gt;0), CALCULO!AW38, 0)</f>
        <v>0</v>
      </c>
      <c r="AW41" s="190">
        <f>+IF(AND(CALCULO!AX38&lt;&gt;"", CALCULO!AX38&gt;0), CALCULO!AX38, 0)</f>
        <v>0</v>
      </c>
      <c r="BE41" s="155" t="str">
        <f>+IF(AND(CALCULO!AV38&lt;&gt;"", CALCULO!AV38&gt;0), CALCULO!AV38, "0")</f>
        <v>0</v>
      </c>
    </row>
    <row r="42" spans="1:57" s="152" customFormat="1" ht="33.75" thickBot="1" x14ac:dyDescent="0.3">
      <c r="A42" s="162" t="s">
        <v>72</v>
      </c>
      <c r="B42" s="162"/>
      <c r="C42" s="161">
        <f t="shared" si="0"/>
        <v>125</v>
      </c>
      <c r="D42" s="161"/>
      <c r="E42" s="161">
        <f>+IF(AND(CALCULO!E39&lt;&gt;"", CALCULO!E39&gt;0), CALCULO!E39, "")</f>
        <v>101</v>
      </c>
      <c r="F42" s="155">
        <f>+IF(AND(CALCULO!F39&lt;&gt;"", CALCULO!F39&gt;0), CALCULO!F39, 0)</f>
        <v>0</v>
      </c>
      <c r="G42" s="155">
        <f>+IF(AND(CALCULO!G39&lt;&gt;"", CALCULO!G39&gt;0), CALCULO!G39, 0)</f>
        <v>0</v>
      </c>
      <c r="H42" s="155">
        <f>+IF(AND(CALCULO!H39&lt;&gt;"", CALCULO!H39&gt;0), CALCULO!H39, 0)</f>
        <v>0</v>
      </c>
      <c r="I42" s="155">
        <f>+IF(AND(CALCULO!I39&lt;&gt;"", CALCULO!I39&gt;0), CALCULO!I39, 0)</f>
        <v>0</v>
      </c>
      <c r="J42" s="155">
        <f>+IF(AND(CALCULO!J39&lt;&gt;"", CALCULO!J39&gt;0), CALCULO!J39, 0)</f>
        <v>3</v>
      </c>
      <c r="K42" s="155">
        <f>+IF(AND(CALCULO!K39&lt;&gt;"",CALCULO!K39&gt;0),CALCULO!K39,0)</f>
        <v>0</v>
      </c>
      <c r="L42" s="155">
        <f>+IF(AND(CALCULO!L39&lt;&gt;"", CALCULO!L39&gt;0), CALCULO!L39, 0)</f>
        <v>2</v>
      </c>
      <c r="M42" s="155">
        <f>+IF(AND(CALCULO!M39&lt;&gt;"", CALCULO!M39&gt;0), CALCULO!M39, 0)</f>
        <v>4</v>
      </c>
      <c r="N42" s="155">
        <f>+IF(AND(CALCULO!N39&lt;&gt;"", CALCULO!N39&gt;0), CALCULO!N39, 0)</f>
        <v>0</v>
      </c>
      <c r="O42" s="155">
        <f>+IF(AND(CALCULO!O39&lt;&gt;"", CALCULO!O39&gt;0), CALCULO!O39, 0)</f>
        <v>3</v>
      </c>
      <c r="P42" s="155">
        <f>+IF(AND(CALCULO!P39&lt;&gt;"", CALCULO!P39&gt;0), CALCULO!P39, 0)</f>
        <v>2</v>
      </c>
      <c r="Q42" s="189">
        <f>+IF(AND(CALCULO!Q39&lt;&gt;"", CALCULO!Q39&gt;0), CALCULO!Q39, 0)</f>
        <v>6</v>
      </c>
      <c r="R42" s="189">
        <f>+IF(AND(CALCULO!R39&lt;&gt;"", CALCULO!R39&gt;0), CALCULO!R39, 0)</f>
        <v>2</v>
      </c>
      <c r="S42" s="189">
        <f>+IF(AND(CALCULO!S39&lt;&gt;"", CALCULO!S39&gt;0), CALCULO!S39, 0)</f>
        <v>6</v>
      </c>
      <c r="T42" s="189">
        <f>+IF(AND(CALCULO!T39&lt;&gt;"", CALCULO!T39&gt;0), CALCULO!T39, 0)</f>
        <v>1</v>
      </c>
      <c r="U42" s="189">
        <f>+IF(AND(CALCULO!U39&lt;&gt;"", CALCULO!U39&gt;0), CALCULO!U39, 0)</f>
        <v>12</v>
      </c>
      <c r="V42" s="189">
        <f>+IF(AND(CALCULO!V39&lt;&gt;"", CALCULO!V39&gt;0), CALCULO!V39, 0)</f>
        <v>0</v>
      </c>
      <c r="W42" s="189">
        <f>+IF(AND(CALCULO!W39&lt;&gt;"", CALCULO!W39&gt;0), CALCULO!W39, 0)</f>
        <v>2</v>
      </c>
      <c r="X42" s="189">
        <f>+IF(AND(CALCULO!X39&lt;&gt;"", CALCULO!X39&gt;0), CALCULO!X39, 0)</f>
        <v>0</v>
      </c>
      <c r="Y42" s="189">
        <f>+IF(AND(CALCULO!Y39&lt;&gt;"", CALCULO!Y39&gt;0), CALCULO!Y39, 0)</f>
        <v>4</v>
      </c>
      <c r="Z42" s="189">
        <f>+IF(AND(CALCULO!Z39&lt;&gt;"", CALCULO!Z39&gt;0), CALCULO!Z39, 0)</f>
        <v>1</v>
      </c>
      <c r="AA42" s="189">
        <f>+IF(AND(CALCULO!AA39&lt;&gt;"", CALCULO!AA39&gt;0), CALCULO!AA39, 0)</f>
        <v>6</v>
      </c>
      <c r="AB42" s="189">
        <f>+IF(AND(CALCULO!AB39&lt;&gt;"", CALCULO!AB39&gt;0), CALCULO!AB39, 0)</f>
        <v>0</v>
      </c>
      <c r="AC42" s="189">
        <f>+IF(AND(CALCULO!AC39&lt;&gt;"", CALCULO!AC39&gt;0), CALCULO!AC39, 0)</f>
        <v>12</v>
      </c>
      <c r="AD42" s="189">
        <f>+IF(AND(CALCULO!AD39&lt;&gt;"", CALCULO!AD39&gt;0), CALCULO!AD39, 0)</f>
        <v>3</v>
      </c>
      <c r="AE42" s="189">
        <f>+IF(AND(CALCULO!AE39&lt;&gt;"", CALCULO!AE39&gt;0), CALCULO!AE39, 0)</f>
        <v>14</v>
      </c>
      <c r="AF42" s="189">
        <f>+IF(AND(CALCULO!AF39&lt;&gt;"", CALCULO!AF39&gt;0), CALCULO!AF39, 0)</f>
        <v>2</v>
      </c>
      <c r="AG42" s="189">
        <f>+IF(AND(CALCULO!AG39&lt;&gt;"", CALCULO!AG39&gt;0), CALCULO!AG39, 0)</f>
        <v>12</v>
      </c>
      <c r="AH42" s="189">
        <f>+IF(AND(CALCULO!AH39&lt;&gt;"", CALCULO!AH39&gt;0), CALCULO!AH39, 0)</f>
        <v>3</v>
      </c>
      <c r="AI42" s="189">
        <f>+IF(AND(CALCULO!AI39&lt;&gt;"", CALCULO!AI39&gt;0), CALCULO!AI39, 0)</f>
        <v>5</v>
      </c>
      <c r="AJ42" s="189">
        <f>+IF(AND(CALCULO!AJ39&lt;&gt;"", CALCULO!AJ39&gt;0), CALCULO!AJ39, 0)</f>
        <v>1</v>
      </c>
      <c r="AK42" s="189">
        <f>+IF(AND(CALCULO!AK39&lt;&gt;"", CALCULO!AK39&gt;0), CALCULO!AK39, 0)</f>
        <v>8</v>
      </c>
      <c r="AL42" s="189">
        <f>+IF(AND(CALCULO!AL39&lt;&gt;"", CALCULO!AL39&gt;0), CALCULO!AL39, 0)</f>
        <v>4</v>
      </c>
      <c r="AM42" s="189">
        <f>+IF(AND(CALCULO!AM39&lt;&gt;"", CALCULO!AM39&gt;0), CALCULO!AM39, 0)</f>
        <v>7</v>
      </c>
      <c r="AN42" s="204">
        <f>+IF(AND(CALCULO!AN39&lt;&gt;"", CALCULO!AN39&gt;0), CALCULO!AN39, 0)</f>
        <v>1</v>
      </c>
      <c r="AO42" s="189">
        <f>+IF(AND(CALCULO!AO39&lt;&gt;"", CALCULO!AO39&gt;0), CALCULO!AO39, 0)</f>
        <v>24</v>
      </c>
      <c r="AP42" s="189">
        <f>+IF(AND(CALCULO!AP39&lt;&gt;"", CALCULO!AP39&gt;0), CALCULO!AP39, 0)</f>
        <v>0</v>
      </c>
      <c r="AQ42" s="189">
        <f>+IF(AND(CALCULO!AQ39&lt;&gt;"", CALCULO!AQ39&gt;0), CALCULO!AQ39, 0)</f>
        <v>11</v>
      </c>
      <c r="AR42" s="189">
        <f>+IF(AND(CALCULO!AT39&lt;&gt;"", CALCULO!AT39&gt;0), CALCULO!AT39, 0)</f>
        <v>0</v>
      </c>
      <c r="AS42" s="189">
        <f>+IF(AND(CALCULO!AU39&lt;&gt;"", CALCULO!AU39&gt;0), CALCULO!AU39, 0)</f>
        <v>0</v>
      </c>
      <c r="AT42" s="189">
        <f>+IF(AND(CALCULO!AR39&lt;&gt;"", CALCULO!AR39&gt;0), CALCULO!AR39, 0)</f>
        <v>0</v>
      </c>
      <c r="AU42" s="189">
        <f>+IF(AND(CALCULO!AS39&lt;&gt;"", CALCULO!AS39&gt;0), CALCULO!AS39, 0)</f>
        <v>0</v>
      </c>
      <c r="AV42" s="189">
        <f>+IF(AND(CALCULO!AW39&lt;&gt;"", CALCULO!AW39&gt;0), CALCULO!AW39, 0)</f>
        <v>0</v>
      </c>
      <c r="AW42" s="190">
        <f>+IF(AND(CALCULO!AX39&lt;&gt;"", CALCULO!AX39&gt;0), CALCULO!AX39, 0)</f>
        <v>0</v>
      </c>
      <c r="BE42" s="155" t="str">
        <f>+IF(AND(CALCULO!AV39&lt;&gt;"", CALCULO!AV39&gt;0), CALCULO!AV39, "0")</f>
        <v>0</v>
      </c>
    </row>
    <row r="43" spans="1:57" s="151" customFormat="1" ht="15.75" thickBot="1" x14ac:dyDescent="0.3">
      <c r="A43" s="451" t="s">
        <v>73</v>
      </c>
      <c r="B43" s="451"/>
      <c r="C43" s="155">
        <f t="shared" si="0"/>
        <v>1</v>
      </c>
      <c r="D43" s="155"/>
      <c r="E43" s="155">
        <f>+IF(AND(CALCULO!E40&lt;&gt;"", CALCULO!E40&gt;0), CALCULO!E40, "")</f>
        <v>1</v>
      </c>
      <c r="F43" s="155">
        <f>+IF(AND(CALCULO!F40&lt;&gt;"", CALCULO!F40&gt;0), CALCULO!F40, 0)</f>
        <v>0</v>
      </c>
      <c r="G43" s="155">
        <f>+IF(AND(CALCULO!G40&lt;&gt;"", CALCULO!G40&gt;0), CALCULO!G40, 0)</f>
        <v>0</v>
      </c>
      <c r="H43" s="155">
        <f>+IF(AND(CALCULO!H40&lt;&gt;"", CALCULO!H40&gt;0), CALCULO!H40, 0)</f>
        <v>0</v>
      </c>
      <c r="I43" s="155">
        <f>+IF(AND(CALCULO!I40&lt;&gt;"", CALCULO!I40&gt;0), CALCULO!I40, 0)</f>
        <v>0</v>
      </c>
      <c r="J43" s="155">
        <f>+IF(AND(CALCULO!J40&lt;&gt;"", CALCULO!J40&gt;0), CALCULO!J40, 0)</f>
        <v>0</v>
      </c>
      <c r="K43" s="155">
        <f>+IF(AND(CALCULO!K40&lt;&gt;"",CALCULO!K40&gt;0),CALCULO!K40,0)</f>
        <v>0</v>
      </c>
      <c r="L43" s="155">
        <f>+IF(AND(CALCULO!L40&lt;&gt;"", CALCULO!L40&gt;0), CALCULO!L40, 0)</f>
        <v>0</v>
      </c>
      <c r="M43" s="155">
        <f>+IF(AND(CALCULO!M40&lt;&gt;"", CALCULO!M40&gt;0), CALCULO!M40, 0)</f>
        <v>0</v>
      </c>
      <c r="N43" s="155">
        <f>+IF(AND(CALCULO!N40&lt;&gt;"", CALCULO!N40&gt;0), CALCULO!N40, 0)</f>
        <v>0</v>
      </c>
      <c r="O43" s="155">
        <f>+IF(AND(CALCULO!O40&lt;&gt;"", CALCULO!O40&gt;0), CALCULO!O40, 0)</f>
        <v>0</v>
      </c>
      <c r="P43" s="155">
        <f>+IF(AND(CALCULO!P40&lt;&gt;"", CALCULO!P40&gt;0), CALCULO!P40, 0)</f>
        <v>0</v>
      </c>
      <c r="Q43" s="189">
        <f>+IF(AND(CALCULO!Q40&lt;&gt;"", CALCULO!Q40&gt;0), CALCULO!Q40, 0)</f>
        <v>0</v>
      </c>
      <c r="R43" s="189">
        <f>+IF(AND(CALCULO!R40&lt;&gt;"", CALCULO!R40&gt;0), CALCULO!R40, 0)</f>
        <v>0</v>
      </c>
      <c r="S43" s="189">
        <f>+IF(AND(CALCULO!S40&lt;&gt;"", CALCULO!S40&gt;0), CALCULO!S40, 0)</f>
        <v>0</v>
      </c>
      <c r="T43" s="189">
        <f>+IF(AND(CALCULO!T40&lt;&gt;"", CALCULO!T40&gt;0), CALCULO!T40, 0)</f>
        <v>0</v>
      </c>
      <c r="U43" s="189">
        <f>+IF(AND(CALCULO!U40&lt;&gt;"", CALCULO!U40&gt;0), CALCULO!U40, 0)</f>
        <v>0</v>
      </c>
      <c r="V43" s="189">
        <f>+IF(AND(CALCULO!V40&lt;&gt;"", CALCULO!V40&gt;0), CALCULO!V40, 0)</f>
        <v>0</v>
      </c>
      <c r="W43" s="189">
        <f>+IF(AND(CALCULO!W40&lt;&gt;"", CALCULO!W40&gt;0), CALCULO!W40, 0)</f>
        <v>0</v>
      </c>
      <c r="X43" s="189">
        <f>+IF(AND(CALCULO!X40&lt;&gt;"", CALCULO!X40&gt;0), CALCULO!X40, 0)</f>
        <v>0</v>
      </c>
      <c r="Y43" s="189">
        <f>+IF(AND(CALCULO!Y40&lt;&gt;"", CALCULO!Y40&gt;0), CALCULO!Y40, 0)</f>
        <v>0</v>
      </c>
      <c r="Z43" s="189">
        <f>+IF(AND(CALCULO!Z40&lt;&gt;"", CALCULO!Z40&gt;0), CALCULO!Z40, 0)</f>
        <v>0</v>
      </c>
      <c r="AA43" s="189">
        <f>+IF(AND(CALCULO!AA40&lt;&gt;"", CALCULO!AA40&gt;0), CALCULO!AA40, 0)</f>
        <v>0</v>
      </c>
      <c r="AB43" s="189">
        <f>+IF(AND(CALCULO!AB40&lt;&gt;"", CALCULO!AB40&gt;0), CALCULO!AB40, 0)</f>
        <v>0</v>
      </c>
      <c r="AC43" s="189">
        <f>+IF(AND(CALCULO!AC40&lt;&gt;"", CALCULO!AC40&gt;0), CALCULO!AC40, 0)</f>
        <v>1</v>
      </c>
      <c r="AD43" s="189">
        <f>+IF(AND(CALCULO!AD40&lt;&gt;"", CALCULO!AD40&gt;0), CALCULO!AD40, 0)</f>
        <v>0</v>
      </c>
      <c r="AE43" s="189">
        <f>+IF(AND(CALCULO!AE40&lt;&gt;"", CALCULO!AE40&gt;0), CALCULO!AE40, 0)</f>
        <v>0</v>
      </c>
      <c r="AF43" s="189">
        <f>+IF(AND(CALCULO!AF40&lt;&gt;"", CALCULO!AF40&gt;0), CALCULO!AF40, 0)</f>
        <v>0</v>
      </c>
      <c r="AG43" s="189">
        <f>+IF(AND(CALCULO!AG40&lt;&gt;"", CALCULO!AG40&gt;0), CALCULO!AG40, 0)</f>
        <v>0</v>
      </c>
      <c r="AH43" s="189">
        <f>+IF(AND(CALCULO!AH40&lt;&gt;"", CALCULO!AH40&gt;0), CALCULO!AH40, 0)</f>
        <v>0</v>
      </c>
      <c r="AI43" s="189">
        <f>+IF(AND(CALCULO!AI40&lt;&gt;"", CALCULO!AI40&gt;0), CALCULO!AI40, 0)</f>
        <v>0</v>
      </c>
      <c r="AJ43" s="189">
        <f>+IF(AND(CALCULO!AJ40&lt;&gt;"", CALCULO!AJ40&gt;0), CALCULO!AJ40, 0)</f>
        <v>0</v>
      </c>
      <c r="AK43" s="189">
        <f>+IF(AND(CALCULO!AK40&lt;&gt;"", CALCULO!AK40&gt;0), CALCULO!AK40, 0)</f>
        <v>0</v>
      </c>
      <c r="AL43" s="189">
        <f>+IF(AND(CALCULO!AL40&lt;&gt;"", CALCULO!AL40&gt;0), CALCULO!AL40, 0)</f>
        <v>0</v>
      </c>
      <c r="AM43" s="189">
        <f>+IF(AND(CALCULO!AM40&lt;&gt;"", CALCULO!AM40&gt;0), CALCULO!AM40, 0)</f>
        <v>0</v>
      </c>
      <c r="AN43" s="204">
        <f>+IF(AND(CALCULO!AN40&lt;&gt;"", CALCULO!AN40&gt;0), CALCULO!AN40, 0)</f>
        <v>0</v>
      </c>
      <c r="AO43" s="189">
        <f>+IF(AND(CALCULO!AO40&lt;&gt;"", CALCULO!AO40&gt;0), CALCULO!AO40, 0)</f>
        <v>0</v>
      </c>
      <c r="AP43" s="189">
        <f>+IF(AND(CALCULO!AP40&lt;&gt;"", CALCULO!AP40&gt;0), CALCULO!AP40, 0)</f>
        <v>0</v>
      </c>
      <c r="AQ43" s="189">
        <f>+IF(AND(CALCULO!AQ40&lt;&gt;"", CALCULO!AQ40&gt;0), CALCULO!AQ40, 0)</f>
        <v>0</v>
      </c>
      <c r="AR43" s="189">
        <f>+IF(AND(CALCULO!AT40&lt;&gt;"", CALCULO!AT40&gt;0), CALCULO!AT40, 0)</f>
        <v>0</v>
      </c>
      <c r="AS43" s="189">
        <f>+IF(AND(CALCULO!AU40&lt;&gt;"", CALCULO!AU40&gt;0), CALCULO!AU40, 0)</f>
        <v>0</v>
      </c>
      <c r="AT43" s="189">
        <f>+IF(AND(CALCULO!AR40&lt;&gt;"", CALCULO!AR40&gt;0), CALCULO!AR40, 0)</f>
        <v>0</v>
      </c>
      <c r="AU43" s="189">
        <f>+IF(AND(CALCULO!AS40&lt;&gt;"", CALCULO!AS40&gt;0), CALCULO!AS40, 0)</f>
        <v>0</v>
      </c>
      <c r="AV43" s="189">
        <f>+IF(AND(CALCULO!AW40&lt;&gt;"", CALCULO!AW40&gt;0), CALCULO!AW40, 0)</f>
        <v>0</v>
      </c>
      <c r="AW43" s="190">
        <f>+IF(AND(CALCULO!AX40&lt;&gt;"", CALCULO!AX40&gt;0), CALCULO!AX40, 0)</f>
        <v>0</v>
      </c>
      <c r="BE43" s="155" t="str">
        <f>+IF(AND(CALCULO!AV40&lt;&gt;"", CALCULO!AV40&gt;0), CALCULO!AV40, "0")</f>
        <v>0</v>
      </c>
    </row>
    <row r="44" spans="1:57" s="152" customFormat="1" ht="15.75" thickBot="1" x14ac:dyDescent="0.3">
      <c r="A44" s="453" t="s">
        <v>74</v>
      </c>
      <c r="B44" s="453"/>
      <c r="C44" s="161">
        <f t="shared" si="0"/>
        <v>1</v>
      </c>
      <c r="D44" s="161"/>
      <c r="E44" s="161" t="str">
        <f>+IF(AND(CALCULO!E41&lt;&gt;"", CALCULO!E41&gt;0), CALCULO!E41, "")</f>
        <v/>
      </c>
      <c r="F44" s="155">
        <f>+IF(AND(CALCULO!F41&lt;&gt;"", CALCULO!F41&gt;0), CALCULO!F41, 0)</f>
        <v>0</v>
      </c>
      <c r="G44" s="155">
        <f>+IF(AND(CALCULO!G41&lt;&gt;"", CALCULO!G41&gt;0), CALCULO!G41, 0)</f>
        <v>0</v>
      </c>
      <c r="H44" s="155">
        <f>+IF(AND(CALCULO!H41&lt;&gt;"", CALCULO!H41&gt;0), CALCULO!H41, 0)</f>
        <v>0</v>
      </c>
      <c r="I44" s="155">
        <f>+IF(AND(CALCULO!I41&lt;&gt;"", CALCULO!I41&gt;0), CALCULO!I41, 0)</f>
        <v>0</v>
      </c>
      <c r="J44" s="155">
        <f>+IF(AND(CALCULO!J41&lt;&gt;"", CALCULO!J41&gt;0), CALCULO!J41, 0)</f>
        <v>0</v>
      </c>
      <c r="K44" s="155">
        <f>+IF(AND(CALCULO!K41&lt;&gt;"",CALCULO!K41&gt;0),CALCULO!K41,0)</f>
        <v>0</v>
      </c>
      <c r="L44" s="155">
        <f>+IF(AND(CALCULO!L41&lt;&gt;"", CALCULO!L41&gt;0), CALCULO!L41, 0)</f>
        <v>0</v>
      </c>
      <c r="M44" s="155">
        <f>+IF(AND(CALCULO!M41&lt;&gt;"", CALCULO!M41&gt;0), CALCULO!M41, 0)</f>
        <v>0</v>
      </c>
      <c r="N44" s="155">
        <f>+IF(AND(CALCULO!N41&lt;&gt;"", CALCULO!N41&gt;0), CALCULO!N41, 0)</f>
        <v>0</v>
      </c>
      <c r="O44" s="155">
        <f>+IF(AND(CALCULO!O41&lt;&gt;"", CALCULO!O41&gt;0), CALCULO!O41, 0)</f>
        <v>0</v>
      </c>
      <c r="P44" s="155">
        <f>+IF(AND(CALCULO!P41&lt;&gt;"", CALCULO!P41&gt;0), CALCULO!P41, 0)</f>
        <v>1</v>
      </c>
      <c r="Q44" s="189">
        <f>+IF(AND(CALCULO!Q41&lt;&gt;"", CALCULO!Q41&gt;0), CALCULO!Q41, 0)</f>
        <v>0</v>
      </c>
      <c r="R44" s="189">
        <f>+IF(AND(CALCULO!R41&lt;&gt;"", CALCULO!R41&gt;0), CALCULO!R41, 0)</f>
        <v>0</v>
      </c>
      <c r="S44" s="189">
        <f>+IF(AND(CALCULO!S41&lt;&gt;"", CALCULO!S41&gt;0), CALCULO!S41, 0)</f>
        <v>0</v>
      </c>
      <c r="T44" s="189">
        <f>+IF(AND(CALCULO!T41&lt;&gt;"", CALCULO!T41&gt;0), CALCULO!T41, 0)</f>
        <v>0</v>
      </c>
      <c r="U44" s="189">
        <f>+IF(AND(CALCULO!U41&lt;&gt;"", CALCULO!U41&gt;0), CALCULO!U41, 0)</f>
        <v>0</v>
      </c>
      <c r="V44" s="189">
        <f>+IF(AND(CALCULO!V41&lt;&gt;"", CALCULO!V41&gt;0), CALCULO!V41, 0)</f>
        <v>0</v>
      </c>
      <c r="W44" s="189">
        <f>+IF(AND(CALCULO!W41&lt;&gt;"", CALCULO!W41&gt;0), CALCULO!W41, 0)</f>
        <v>0</v>
      </c>
      <c r="X44" s="189">
        <f>+IF(AND(CALCULO!X41&lt;&gt;"", CALCULO!X41&gt;0), CALCULO!X41, 0)</f>
        <v>0</v>
      </c>
      <c r="Y44" s="189">
        <f>+IF(AND(CALCULO!Y41&lt;&gt;"", CALCULO!Y41&gt;0), CALCULO!Y41, 0)</f>
        <v>0</v>
      </c>
      <c r="Z44" s="189">
        <f>+IF(AND(CALCULO!Z41&lt;&gt;"", CALCULO!Z41&gt;0), CALCULO!Z41, 0)</f>
        <v>0</v>
      </c>
      <c r="AA44" s="189">
        <f>+IF(AND(CALCULO!AA41&lt;&gt;"", CALCULO!AA41&gt;0), CALCULO!AA41, 0)</f>
        <v>0</v>
      </c>
      <c r="AB44" s="189">
        <f>+IF(AND(CALCULO!AB41&lt;&gt;"", CALCULO!AB41&gt;0), CALCULO!AB41, 0)</f>
        <v>0</v>
      </c>
      <c r="AC44" s="189">
        <f>+IF(AND(CALCULO!AC41&lt;&gt;"", CALCULO!AC41&gt;0), CALCULO!AC41, 0)</f>
        <v>0</v>
      </c>
      <c r="AD44" s="189">
        <f>+IF(AND(CALCULO!AD41&lt;&gt;"", CALCULO!AD41&gt;0), CALCULO!AD41, 0)</f>
        <v>0</v>
      </c>
      <c r="AE44" s="189">
        <f>+IF(AND(CALCULO!AE41&lt;&gt;"", CALCULO!AE41&gt;0), CALCULO!AE41, 0)</f>
        <v>0</v>
      </c>
      <c r="AF44" s="189">
        <f>+IF(AND(CALCULO!AF41&lt;&gt;"", CALCULO!AF41&gt;0), CALCULO!AF41, 0)</f>
        <v>0</v>
      </c>
      <c r="AG44" s="189">
        <f>+IF(AND(CALCULO!AG41&lt;&gt;"", CALCULO!AG41&gt;0), CALCULO!AG41, 0)</f>
        <v>0</v>
      </c>
      <c r="AH44" s="189">
        <f>+IF(AND(CALCULO!AH41&lt;&gt;"", CALCULO!AH41&gt;0), CALCULO!AH41, 0)</f>
        <v>0</v>
      </c>
      <c r="AI44" s="189">
        <f>+IF(AND(CALCULO!AI41&lt;&gt;"", CALCULO!AI41&gt;0), CALCULO!AI41, 0)</f>
        <v>0</v>
      </c>
      <c r="AJ44" s="189">
        <f>+IF(AND(CALCULO!AJ41&lt;&gt;"", CALCULO!AJ41&gt;0), CALCULO!AJ41, 0)</f>
        <v>0</v>
      </c>
      <c r="AK44" s="189">
        <f>+IF(AND(CALCULO!AK41&lt;&gt;"", CALCULO!AK41&gt;0), CALCULO!AK41, 0)</f>
        <v>0</v>
      </c>
      <c r="AL44" s="189">
        <f>+IF(AND(CALCULO!AL41&lt;&gt;"", CALCULO!AL41&gt;0), CALCULO!AL41, 0)</f>
        <v>0</v>
      </c>
      <c r="AM44" s="189">
        <f>+IF(AND(CALCULO!AM41&lt;&gt;"", CALCULO!AM41&gt;0), CALCULO!AM41, 0)</f>
        <v>0</v>
      </c>
      <c r="AN44" s="204">
        <f>+IF(AND(CALCULO!AN41&lt;&gt;"", CALCULO!AN41&gt;0), CALCULO!AN41, 0)</f>
        <v>0</v>
      </c>
      <c r="AO44" s="189">
        <f>+IF(AND(CALCULO!AO41&lt;&gt;"", CALCULO!AO41&gt;0), CALCULO!AO41, 0)</f>
        <v>0</v>
      </c>
      <c r="AP44" s="189">
        <f>+IF(AND(CALCULO!AP41&lt;&gt;"", CALCULO!AP41&gt;0), CALCULO!AP41, 0)</f>
        <v>0</v>
      </c>
      <c r="AQ44" s="189">
        <f>+IF(AND(CALCULO!AQ41&lt;&gt;"", CALCULO!AQ41&gt;0), CALCULO!AQ41, 0)</f>
        <v>0</v>
      </c>
      <c r="AR44" s="189">
        <f>+IF(AND(CALCULO!AT41&lt;&gt;"", CALCULO!AT41&gt;0), CALCULO!AT41, 0)</f>
        <v>0</v>
      </c>
      <c r="AS44" s="189">
        <f>+IF(AND(CALCULO!AU41&lt;&gt;"", CALCULO!AU41&gt;0), CALCULO!AU41, 0)</f>
        <v>0</v>
      </c>
      <c r="AT44" s="189">
        <f>+IF(AND(CALCULO!AR41&lt;&gt;"", CALCULO!AR41&gt;0), CALCULO!AR41, 0)</f>
        <v>0</v>
      </c>
      <c r="AU44" s="189">
        <f>+IF(AND(CALCULO!AS41&lt;&gt;"", CALCULO!AS41&gt;0), CALCULO!AS41, 0)</f>
        <v>0</v>
      </c>
      <c r="AV44" s="189">
        <f>+IF(AND(CALCULO!AW41&lt;&gt;"", CALCULO!AW41&gt;0), CALCULO!AW41, 0)</f>
        <v>0</v>
      </c>
      <c r="AW44" s="190">
        <f>+IF(AND(CALCULO!AX41&lt;&gt;"", CALCULO!AX41&gt;0), CALCULO!AX41, 0)</f>
        <v>0</v>
      </c>
      <c r="BE44" s="155" t="str">
        <f>+IF(AND(CALCULO!AV41&lt;&gt;"", CALCULO!AV41&gt;0), CALCULO!AV41, "0")</f>
        <v>0</v>
      </c>
    </row>
    <row r="45" spans="1:57" s="151" customFormat="1" ht="15.75" thickBot="1" x14ac:dyDescent="0.3">
      <c r="A45" s="451" t="s">
        <v>75</v>
      </c>
      <c r="B45" s="451"/>
      <c r="C45" s="155">
        <f t="shared" si="0"/>
        <v>14</v>
      </c>
      <c r="D45" s="155"/>
      <c r="E45" s="155">
        <f>+IF(AND(CALCULO!E42&lt;&gt;"", CALCULO!E42&gt;0), CALCULO!E42, "")</f>
        <v>7</v>
      </c>
      <c r="F45" s="155">
        <f>+IF(AND(CALCULO!F42&lt;&gt;"", CALCULO!F42&gt;0), CALCULO!F42, 0)</f>
        <v>0</v>
      </c>
      <c r="G45" s="155">
        <f>+IF(AND(CALCULO!G42&lt;&gt;"", CALCULO!G42&gt;0), CALCULO!G42, 0)</f>
        <v>0</v>
      </c>
      <c r="H45" s="155">
        <f>+IF(AND(CALCULO!H42&lt;&gt;"", CALCULO!H42&gt;0), CALCULO!H42, 0)</f>
        <v>0</v>
      </c>
      <c r="I45" s="155">
        <f>+IF(AND(CALCULO!I42&lt;&gt;"", CALCULO!I42&gt;0), CALCULO!I42, 0)</f>
        <v>0</v>
      </c>
      <c r="J45" s="155">
        <f>+IF(AND(CALCULO!J42&lt;&gt;"", CALCULO!J42&gt;0), CALCULO!J42, 0)</f>
        <v>0</v>
      </c>
      <c r="K45" s="155">
        <f>+IF(AND(CALCULO!K42&lt;&gt;"",CALCULO!K42&gt;0),CALCULO!K42,0)</f>
        <v>0</v>
      </c>
      <c r="L45" s="155">
        <f>+IF(AND(CALCULO!L42&lt;&gt;"", CALCULO!L42&gt;0), CALCULO!L42, 0)</f>
        <v>1</v>
      </c>
      <c r="M45" s="155">
        <f>+IF(AND(CALCULO!M42&lt;&gt;"", CALCULO!M42&gt;0), CALCULO!M42, 0)</f>
        <v>1</v>
      </c>
      <c r="N45" s="155">
        <f>+IF(AND(CALCULO!N42&lt;&gt;"", CALCULO!N42&gt;0), CALCULO!N42, 0)</f>
        <v>0</v>
      </c>
      <c r="O45" s="155">
        <f>+IF(AND(CALCULO!O42&lt;&gt;"", CALCULO!O42&gt;0), CALCULO!O42, 0)</f>
        <v>0</v>
      </c>
      <c r="P45" s="155">
        <f>+IF(AND(CALCULO!P42&lt;&gt;"", CALCULO!P42&gt;0), CALCULO!P42, 0)</f>
        <v>0</v>
      </c>
      <c r="Q45" s="189">
        <f>+IF(AND(CALCULO!Q42&lt;&gt;"", CALCULO!Q42&gt;0), CALCULO!Q42, 0)</f>
        <v>2</v>
      </c>
      <c r="R45" s="189">
        <f>+IF(AND(CALCULO!R42&lt;&gt;"", CALCULO!R42&gt;0), CALCULO!R42, 0)</f>
        <v>0</v>
      </c>
      <c r="S45" s="189">
        <f>+IF(AND(CALCULO!S42&lt;&gt;"", CALCULO!S42&gt;0), CALCULO!S42, 0)</f>
        <v>1</v>
      </c>
      <c r="T45" s="189">
        <f>+IF(AND(CALCULO!T42&lt;&gt;"", CALCULO!T42&gt;0), CALCULO!T42, 0)</f>
        <v>0</v>
      </c>
      <c r="U45" s="189">
        <f>+IF(AND(CALCULO!U42&lt;&gt;"", CALCULO!U42&gt;0), CALCULO!U42, 0)</f>
        <v>2</v>
      </c>
      <c r="V45" s="189">
        <f>+IF(AND(CALCULO!V42&lt;&gt;"", CALCULO!V42&gt;0), CALCULO!V42, 0)</f>
        <v>0</v>
      </c>
      <c r="W45" s="189">
        <f>+IF(AND(CALCULO!W42&lt;&gt;"", CALCULO!W42&gt;0), CALCULO!W42, 0)</f>
        <v>1</v>
      </c>
      <c r="X45" s="189">
        <f>+IF(AND(CALCULO!X42&lt;&gt;"", CALCULO!X42&gt;0), CALCULO!X42, 0)</f>
        <v>0</v>
      </c>
      <c r="Y45" s="189">
        <f>+IF(AND(CALCULO!Y42&lt;&gt;"", CALCULO!Y42&gt;0), CALCULO!Y42, 0)</f>
        <v>1</v>
      </c>
      <c r="Z45" s="189">
        <f>+IF(AND(CALCULO!Z42&lt;&gt;"", CALCULO!Z42&gt;0), CALCULO!Z42, 0)</f>
        <v>0</v>
      </c>
      <c r="AA45" s="189">
        <f>+IF(AND(CALCULO!AA42&lt;&gt;"", CALCULO!AA42&gt;0), CALCULO!AA42, 0)</f>
        <v>2</v>
      </c>
      <c r="AB45" s="189">
        <f>+IF(AND(CALCULO!AB42&lt;&gt;"", CALCULO!AB42&gt;0), CALCULO!AB42, 0)</f>
        <v>0</v>
      </c>
      <c r="AC45" s="189">
        <f>+IF(AND(CALCULO!AC42&lt;&gt;"", CALCULO!AC42&gt;0), CALCULO!AC42, 0)</f>
        <v>0</v>
      </c>
      <c r="AD45" s="189">
        <f>+IF(AND(CALCULO!AD42&lt;&gt;"", CALCULO!AD42&gt;0), CALCULO!AD42, 0)</f>
        <v>0</v>
      </c>
      <c r="AE45" s="189">
        <f>+IF(AND(CALCULO!AE42&lt;&gt;"", CALCULO!AE42&gt;0), CALCULO!AE42, 0)</f>
        <v>2</v>
      </c>
      <c r="AF45" s="189">
        <f>+IF(AND(CALCULO!AF42&lt;&gt;"", CALCULO!AF42&gt;0), CALCULO!AF42, 0)</f>
        <v>0</v>
      </c>
      <c r="AG45" s="189">
        <f>+IF(AND(CALCULO!AG42&lt;&gt;"", CALCULO!AG42&gt;0), CALCULO!AG42, 0)</f>
        <v>0</v>
      </c>
      <c r="AH45" s="189">
        <f>+IF(AND(CALCULO!AH42&lt;&gt;"", CALCULO!AH42&gt;0), CALCULO!AH42, 0)</f>
        <v>0</v>
      </c>
      <c r="AI45" s="189">
        <f>+IF(AND(CALCULO!AI42&lt;&gt;"", CALCULO!AI42&gt;0), CALCULO!AI42, 0)</f>
        <v>0</v>
      </c>
      <c r="AJ45" s="189">
        <f>+IF(AND(CALCULO!AJ42&lt;&gt;"", CALCULO!AJ42&gt;0), CALCULO!AJ42, 0)</f>
        <v>0</v>
      </c>
      <c r="AK45" s="189">
        <f>+IF(AND(CALCULO!AK42&lt;&gt;"", CALCULO!AK42&gt;0), CALCULO!AK42, 0)</f>
        <v>0</v>
      </c>
      <c r="AL45" s="189">
        <f>+IF(AND(CALCULO!AL42&lt;&gt;"", CALCULO!AL42&gt;0), CALCULO!AL42, 0)</f>
        <v>0</v>
      </c>
      <c r="AM45" s="189">
        <f>+IF(AND(CALCULO!AM42&lt;&gt;"", CALCULO!AM42&gt;0), CALCULO!AM42, 0)</f>
        <v>1</v>
      </c>
      <c r="AN45" s="204">
        <f>+IF(AND(CALCULO!AN42&lt;&gt;"", CALCULO!AN42&gt;0), CALCULO!AN42, 0)</f>
        <v>1</v>
      </c>
      <c r="AO45" s="189">
        <f>+IF(AND(CALCULO!AO42&lt;&gt;"", CALCULO!AO42&gt;0), CALCULO!AO42, 0)</f>
        <v>3</v>
      </c>
      <c r="AP45" s="189">
        <f>+IF(AND(CALCULO!AP42&lt;&gt;"", CALCULO!AP42&gt;0), CALCULO!AP42, 0)</f>
        <v>0</v>
      </c>
      <c r="AQ45" s="189">
        <f>+IF(AND(CALCULO!AQ42&lt;&gt;"", CALCULO!AQ42&gt;0), CALCULO!AQ42, 0)</f>
        <v>0</v>
      </c>
      <c r="AR45" s="189">
        <f>+IF(AND(CALCULO!AT42&lt;&gt;"", CALCULO!AT42&gt;0), CALCULO!AT42, 0)</f>
        <v>0</v>
      </c>
      <c r="AS45" s="189">
        <f>+IF(AND(CALCULO!AU42&lt;&gt;"", CALCULO!AU42&gt;0), CALCULO!AU42, 0)</f>
        <v>0</v>
      </c>
      <c r="AT45" s="189">
        <f>+IF(AND(CALCULO!AR42&lt;&gt;"", CALCULO!AR42&gt;0), CALCULO!AR42, 0)</f>
        <v>0</v>
      </c>
      <c r="AU45" s="189">
        <f>+IF(AND(CALCULO!AS42&lt;&gt;"", CALCULO!AS42&gt;0), CALCULO!AS42, 0)</f>
        <v>0</v>
      </c>
      <c r="AV45" s="189">
        <f>+IF(AND(CALCULO!AW42&lt;&gt;"", CALCULO!AW42&gt;0), CALCULO!AW42, 0)</f>
        <v>0</v>
      </c>
      <c r="AW45" s="190">
        <f>+IF(AND(CALCULO!AX42&lt;&gt;"", CALCULO!AX42&gt;0), CALCULO!AX42, 0)</f>
        <v>0</v>
      </c>
      <c r="BE45" s="155" t="str">
        <f>+IF(AND(CALCULO!AV42&lt;&gt;"", CALCULO!AV42&gt;0), CALCULO!AV42, "0")</f>
        <v>0</v>
      </c>
    </row>
    <row r="46" spans="1:57" s="151" customFormat="1" ht="15.75" thickBot="1" x14ac:dyDescent="0.3">
      <c r="A46" s="455" t="s">
        <v>76</v>
      </c>
      <c r="B46" s="157" t="s">
        <v>77</v>
      </c>
      <c r="C46" s="155">
        <f t="shared" si="0"/>
        <v>2</v>
      </c>
      <c r="D46" s="155"/>
      <c r="E46" s="155" t="str">
        <f>+IF(AND(CALCULO!E43&lt;&gt;"", CALCULO!E43&gt;0), CALCULO!E43, "")</f>
        <v/>
      </c>
      <c r="F46" s="155">
        <f>+IF(AND(CALCULO!F43&lt;&gt;"", CALCULO!F43&gt;0), CALCULO!F43, 0)</f>
        <v>0</v>
      </c>
      <c r="G46" s="155">
        <f>+IF(AND(CALCULO!G43&lt;&gt;"", CALCULO!G43&gt;0), CALCULO!G43, 0)</f>
        <v>0</v>
      </c>
      <c r="H46" s="155">
        <f>+IF(AND(CALCULO!H43&lt;&gt;"", CALCULO!H43&gt;0), CALCULO!H43, 0)</f>
        <v>0</v>
      </c>
      <c r="I46" s="155">
        <f>+IF(AND(CALCULO!I43&lt;&gt;"", CALCULO!I43&gt;0), CALCULO!I43, 0)</f>
        <v>0</v>
      </c>
      <c r="J46" s="155">
        <f>+IF(AND(CALCULO!J43&lt;&gt;"", CALCULO!J43&gt;0), CALCULO!J43, 0)</f>
        <v>0</v>
      </c>
      <c r="K46" s="155">
        <f>+IF(AND(CALCULO!K43&lt;&gt;"",CALCULO!K43&gt;0),CALCULO!K43,0)</f>
        <v>0</v>
      </c>
      <c r="L46" s="155">
        <f>+IF(AND(CALCULO!L43&lt;&gt;"", CALCULO!L43&gt;0), CALCULO!L43, 0)</f>
        <v>2</v>
      </c>
      <c r="M46" s="155">
        <f>+IF(AND(CALCULO!M43&lt;&gt;"", CALCULO!M43&gt;0), CALCULO!M43, 0)</f>
        <v>0</v>
      </c>
      <c r="N46" s="155">
        <f>+IF(AND(CALCULO!N43&lt;&gt;"", CALCULO!N43&gt;0), CALCULO!N43, 0)</f>
        <v>0</v>
      </c>
      <c r="O46" s="155">
        <f>+IF(AND(CALCULO!O43&lt;&gt;"", CALCULO!O43&gt;0), CALCULO!O43, 0)</f>
        <v>0</v>
      </c>
      <c r="P46" s="155">
        <f>+IF(AND(CALCULO!P43&lt;&gt;"", CALCULO!P43&gt;0), CALCULO!P43, 0)</f>
        <v>0</v>
      </c>
      <c r="Q46" s="189">
        <f>+IF(AND(CALCULO!Q43&lt;&gt;"", CALCULO!Q43&gt;0), CALCULO!Q43, 0)</f>
        <v>0</v>
      </c>
      <c r="R46" s="189">
        <f>+IF(AND(CALCULO!R43&lt;&gt;"", CALCULO!R43&gt;0), CALCULO!R43, 0)</f>
        <v>0</v>
      </c>
      <c r="S46" s="189">
        <f>+IF(AND(CALCULO!S43&lt;&gt;"", CALCULO!S43&gt;0), CALCULO!S43, 0)</f>
        <v>0</v>
      </c>
      <c r="T46" s="189">
        <f>+IF(AND(CALCULO!T43&lt;&gt;"", CALCULO!T43&gt;0), CALCULO!T43, 0)</f>
        <v>0</v>
      </c>
      <c r="U46" s="189">
        <f>+IF(AND(CALCULO!U43&lt;&gt;"", CALCULO!U43&gt;0), CALCULO!U43, 0)</f>
        <v>0</v>
      </c>
      <c r="V46" s="189">
        <f>+IF(AND(CALCULO!V43&lt;&gt;"", CALCULO!V43&gt;0), CALCULO!V43, 0)</f>
        <v>0</v>
      </c>
      <c r="W46" s="189">
        <f>+IF(AND(CALCULO!W43&lt;&gt;"", CALCULO!W43&gt;0), CALCULO!W43, 0)</f>
        <v>0</v>
      </c>
      <c r="X46" s="189">
        <f>+IF(AND(CALCULO!X43&lt;&gt;"", CALCULO!X43&gt;0), CALCULO!X43, 0)</f>
        <v>0</v>
      </c>
      <c r="Y46" s="189">
        <f>+IF(AND(CALCULO!Y43&lt;&gt;"", CALCULO!Y43&gt;0), CALCULO!Y43, 0)</f>
        <v>0</v>
      </c>
      <c r="Z46" s="189">
        <f>+IF(AND(CALCULO!Z43&lt;&gt;"", CALCULO!Z43&gt;0), CALCULO!Z43, 0)</f>
        <v>0</v>
      </c>
      <c r="AA46" s="189">
        <f>+IF(AND(CALCULO!AA43&lt;&gt;"", CALCULO!AA43&gt;0), CALCULO!AA43, 0)</f>
        <v>0</v>
      </c>
      <c r="AB46" s="189">
        <f>+IF(AND(CALCULO!AB43&lt;&gt;"", CALCULO!AB43&gt;0), CALCULO!AB43, 0)</f>
        <v>0</v>
      </c>
      <c r="AC46" s="189">
        <f>+IF(AND(CALCULO!AC43&lt;&gt;"", CALCULO!AC43&gt;0), CALCULO!AC43, 0)</f>
        <v>0</v>
      </c>
      <c r="AD46" s="189">
        <f>+IF(AND(CALCULO!AD43&lt;&gt;"", CALCULO!AD43&gt;0), CALCULO!AD43, 0)</f>
        <v>0</v>
      </c>
      <c r="AE46" s="189">
        <f>+IF(AND(CALCULO!AE43&lt;&gt;"", CALCULO!AE43&gt;0), CALCULO!AE43, 0)</f>
        <v>0</v>
      </c>
      <c r="AF46" s="189">
        <f>+IF(AND(CALCULO!AF43&lt;&gt;"", CALCULO!AF43&gt;0), CALCULO!AF43, 0)</f>
        <v>0</v>
      </c>
      <c r="AG46" s="189">
        <f>+IF(AND(CALCULO!AG43&lt;&gt;"", CALCULO!AG43&gt;0), CALCULO!AG43, 0)</f>
        <v>0</v>
      </c>
      <c r="AH46" s="189">
        <f>+IF(AND(CALCULO!AH43&lt;&gt;"", CALCULO!AH43&gt;0), CALCULO!AH43, 0)</f>
        <v>0</v>
      </c>
      <c r="AI46" s="189">
        <f>+IF(AND(CALCULO!AI43&lt;&gt;"", CALCULO!AI43&gt;0), CALCULO!AI43, 0)</f>
        <v>0</v>
      </c>
      <c r="AJ46" s="189">
        <f>+IF(AND(CALCULO!AJ43&lt;&gt;"", CALCULO!AJ43&gt;0), CALCULO!AJ43, 0)</f>
        <v>0</v>
      </c>
      <c r="AK46" s="189">
        <f>+IF(AND(CALCULO!AK43&lt;&gt;"", CALCULO!AK43&gt;0), CALCULO!AK43, 0)</f>
        <v>0</v>
      </c>
      <c r="AL46" s="189">
        <f>+IF(AND(CALCULO!AL43&lt;&gt;"", CALCULO!AL43&gt;0), CALCULO!AL43, 0)</f>
        <v>0</v>
      </c>
      <c r="AM46" s="189">
        <f>+IF(AND(CALCULO!AM43&lt;&gt;"", CALCULO!AM43&gt;0), CALCULO!AM43, 0)</f>
        <v>0</v>
      </c>
      <c r="AN46" s="204">
        <f>+IF(AND(CALCULO!AN43&lt;&gt;"", CALCULO!AN43&gt;0), CALCULO!AN43, 0)</f>
        <v>0</v>
      </c>
      <c r="AO46" s="189">
        <f>+IF(AND(CALCULO!AO43&lt;&gt;"", CALCULO!AO43&gt;0), CALCULO!AO43, 0)</f>
        <v>0</v>
      </c>
      <c r="AP46" s="189">
        <f>+IF(AND(CALCULO!AP43&lt;&gt;"", CALCULO!AP43&gt;0), CALCULO!AP43, 0)</f>
        <v>0</v>
      </c>
      <c r="AQ46" s="189">
        <f>+IF(AND(CALCULO!AQ43&lt;&gt;"", CALCULO!AQ43&gt;0), CALCULO!AQ43, 0)</f>
        <v>0</v>
      </c>
      <c r="AR46" s="189">
        <f>+IF(AND(CALCULO!AT43&lt;&gt;"", CALCULO!AT43&gt;0), CALCULO!AT43, 0)</f>
        <v>0</v>
      </c>
      <c r="AS46" s="189">
        <f>+IF(AND(CALCULO!AU43&lt;&gt;"", CALCULO!AU43&gt;0), CALCULO!AU43, 0)</f>
        <v>0</v>
      </c>
      <c r="AT46" s="189">
        <f>+IF(AND(CALCULO!AR43&lt;&gt;"", CALCULO!AR43&gt;0), CALCULO!AR43, 0)</f>
        <v>0</v>
      </c>
      <c r="AU46" s="189">
        <f>+IF(AND(CALCULO!AS43&lt;&gt;"", CALCULO!AS43&gt;0), CALCULO!AS43, 0)</f>
        <v>0</v>
      </c>
      <c r="AV46" s="189">
        <f>+IF(AND(CALCULO!AW43&lt;&gt;"", CALCULO!AW43&gt;0), CALCULO!AW43, 0)</f>
        <v>0</v>
      </c>
      <c r="AW46" s="190">
        <f>+IF(AND(CALCULO!AX43&lt;&gt;"", CALCULO!AX43&gt;0), CALCULO!AX43, 0)</f>
        <v>0</v>
      </c>
      <c r="BE46" s="155" t="str">
        <f>+IF(AND(CALCULO!AV43&lt;&gt;"", CALCULO!AV43&gt;0), CALCULO!AV43, "0")</f>
        <v>0</v>
      </c>
    </row>
    <row r="47" spans="1:57" s="151" customFormat="1" ht="15.75" thickBot="1" x14ac:dyDescent="0.3">
      <c r="A47" s="455"/>
      <c r="B47" s="157" t="s">
        <v>78</v>
      </c>
      <c r="C47" s="155">
        <f t="shared" si="0"/>
        <v>1</v>
      </c>
      <c r="D47" s="155"/>
      <c r="E47" s="155" t="str">
        <f>+IF(AND(CALCULO!E44&lt;&gt;"", CALCULO!E44&gt;0), CALCULO!E44, "")</f>
        <v/>
      </c>
      <c r="F47" s="155">
        <f>+IF(AND(CALCULO!F44&lt;&gt;"", CALCULO!F44&gt;0), CALCULO!F44, 0)</f>
        <v>0</v>
      </c>
      <c r="G47" s="155">
        <f>+IF(AND(CALCULO!G44&lt;&gt;"", CALCULO!G44&gt;0), CALCULO!G44, 0)</f>
        <v>0</v>
      </c>
      <c r="H47" s="155">
        <f>+IF(AND(CALCULO!H44&lt;&gt;"", CALCULO!H44&gt;0), CALCULO!H44, 0)</f>
        <v>0</v>
      </c>
      <c r="I47" s="155">
        <f>+IF(AND(CALCULO!I44&lt;&gt;"", CALCULO!I44&gt;0), CALCULO!I44, 0)</f>
        <v>0</v>
      </c>
      <c r="J47" s="155">
        <f>+IF(AND(CALCULO!J44&lt;&gt;"", CALCULO!J44&gt;0), CALCULO!J44, 0)</f>
        <v>0</v>
      </c>
      <c r="K47" s="155">
        <f>+IF(AND(CALCULO!K44&lt;&gt;"",CALCULO!K44&gt;0),CALCULO!K44,0)</f>
        <v>0</v>
      </c>
      <c r="L47" s="155">
        <f>+IF(AND(CALCULO!L44&lt;&gt;"", CALCULO!L44&gt;0), CALCULO!L44, 0)</f>
        <v>0</v>
      </c>
      <c r="M47" s="155">
        <f>+IF(AND(CALCULO!M44&lt;&gt;"", CALCULO!M44&gt;0), CALCULO!M44, 0)</f>
        <v>0</v>
      </c>
      <c r="N47" s="155">
        <f>+IF(AND(CALCULO!N44&lt;&gt;"", CALCULO!N44&gt;0), CALCULO!N44, 0)</f>
        <v>1</v>
      </c>
      <c r="O47" s="155">
        <f>+IF(AND(CALCULO!O44&lt;&gt;"", CALCULO!O44&gt;0), CALCULO!O44, 0)</f>
        <v>0</v>
      </c>
      <c r="P47" s="155">
        <f>+IF(AND(CALCULO!P44&lt;&gt;"", CALCULO!P44&gt;0), CALCULO!P44, 0)</f>
        <v>0</v>
      </c>
      <c r="Q47" s="189">
        <f>+IF(AND(CALCULO!Q44&lt;&gt;"", CALCULO!Q44&gt;0), CALCULO!Q44, 0)</f>
        <v>0</v>
      </c>
      <c r="R47" s="189">
        <f>+IF(AND(CALCULO!R44&lt;&gt;"", CALCULO!R44&gt;0), CALCULO!R44, 0)</f>
        <v>0</v>
      </c>
      <c r="S47" s="189">
        <f>+IF(AND(CALCULO!S44&lt;&gt;"", CALCULO!S44&gt;0), CALCULO!S44, 0)</f>
        <v>0</v>
      </c>
      <c r="T47" s="189">
        <f>+IF(AND(CALCULO!T44&lt;&gt;"", CALCULO!T44&gt;0), CALCULO!T44, 0)</f>
        <v>0</v>
      </c>
      <c r="U47" s="189">
        <f>+IF(AND(CALCULO!U44&lt;&gt;"", CALCULO!U44&gt;0), CALCULO!U44, 0)</f>
        <v>0</v>
      </c>
      <c r="V47" s="189">
        <f>+IF(AND(CALCULO!V44&lt;&gt;"", CALCULO!V44&gt;0), CALCULO!V44, 0)</f>
        <v>0</v>
      </c>
      <c r="W47" s="189">
        <f>+IF(AND(CALCULO!W44&lt;&gt;"", CALCULO!W44&gt;0), CALCULO!W44, 0)</f>
        <v>0</v>
      </c>
      <c r="X47" s="189">
        <f>+IF(AND(CALCULO!X44&lt;&gt;"", CALCULO!X44&gt;0), CALCULO!X44, 0)</f>
        <v>0</v>
      </c>
      <c r="Y47" s="189">
        <f>+IF(AND(CALCULO!Y44&lt;&gt;"", CALCULO!Y44&gt;0), CALCULO!Y44, 0)</f>
        <v>0</v>
      </c>
      <c r="Z47" s="189">
        <f>+IF(AND(CALCULO!Z44&lt;&gt;"", CALCULO!Z44&gt;0), CALCULO!Z44, 0)</f>
        <v>0</v>
      </c>
      <c r="AA47" s="189">
        <f>+IF(AND(CALCULO!AA44&lt;&gt;"", CALCULO!AA44&gt;0), CALCULO!AA44, 0)</f>
        <v>0</v>
      </c>
      <c r="AB47" s="189">
        <f>+IF(AND(CALCULO!AB44&lt;&gt;"", CALCULO!AB44&gt;0), CALCULO!AB44, 0)</f>
        <v>0</v>
      </c>
      <c r="AC47" s="189">
        <f>+IF(AND(CALCULO!AC44&lt;&gt;"", CALCULO!AC44&gt;0), CALCULO!AC44, 0)</f>
        <v>0</v>
      </c>
      <c r="AD47" s="189">
        <f>+IF(AND(CALCULO!AD44&lt;&gt;"", CALCULO!AD44&gt;0), CALCULO!AD44, 0)</f>
        <v>0</v>
      </c>
      <c r="AE47" s="189">
        <f>+IF(AND(CALCULO!AE44&lt;&gt;"", CALCULO!AE44&gt;0), CALCULO!AE44, 0)</f>
        <v>0</v>
      </c>
      <c r="AF47" s="189">
        <f>+IF(AND(CALCULO!AF44&lt;&gt;"", CALCULO!AF44&gt;0), CALCULO!AF44, 0)</f>
        <v>0</v>
      </c>
      <c r="AG47" s="189">
        <f>+IF(AND(CALCULO!AG44&lt;&gt;"", CALCULO!AG44&gt;0), CALCULO!AG44, 0)</f>
        <v>0</v>
      </c>
      <c r="AH47" s="189">
        <f>+IF(AND(CALCULO!AH44&lt;&gt;"", CALCULO!AH44&gt;0), CALCULO!AH44, 0)</f>
        <v>0</v>
      </c>
      <c r="AI47" s="189">
        <f>+IF(AND(CALCULO!AI44&lt;&gt;"", CALCULO!AI44&gt;0), CALCULO!AI44, 0)</f>
        <v>0</v>
      </c>
      <c r="AJ47" s="189">
        <f>+IF(AND(CALCULO!AJ44&lt;&gt;"", CALCULO!AJ44&gt;0), CALCULO!AJ44, 0)</f>
        <v>0</v>
      </c>
      <c r="AK47" s="189">
        <f>+IF(AND(CALCULO!AK44&lt;&gt;"", CALCULO!AK44&gt;0), CALCULO!AK44, 0)</f>
        <v>0</v>
      </c>
      <c r="AL47" s="189">
        <f>+IF(AND(CALCULO!AL44&lt;&gt;"", CALCULO!AL44&gt;0), CALCULO!AL44, 0)</f>
        <v>0</v>
      </c>
      <c r="AM47" s="189">
        <f>+IF(AND(CALCULO!AM44&lt;&gt;"", CALCULO!AM44&gt;0), CALCULO!AM44, 0)</f>
        <v>0</v>
      </c>
      <c r="AN47" s="204">
        <f>+IF(AND(CALCULO!AN44&lt;&gt;"", CALCULO!AN44&gt;0), CALCULO!AN44, 0)</f>
        <v>0</v>
      </c>
      <c r="AO47" s="189">
        <f>+IF(AND(CALCULO!AO44&lt;&gt;"", CALCULO!AO44&gt;0), CALCULO!AO44, 0)</f>
        <v>0</v>
      </c>
      <c r="AP47" s="189">
        <f>+IF(AND(CALCULO!AP44&lt;&gt;"", CALCULO!AP44&gt;0), CALCULO!AP44, 0)</f>
        <v>0</v>
      </c>
      <c r="AQ47" s="189">
        <f>+IF(AND(CALCULO!AQ44&lt;&gt;"", CALCULO!AQ44&gt;0), CALCULO!AQ44, 0)</f>
        <v>0</v>
      </c>
      <c r="AR47" s="189">
        <f>+IF(AND(CALCULO!AT44&lt;&gt;"", CALCULO!AT44&gt;0), CALCULO!AT44, 0)</f>
        <v>0</v>
      </c>
      <c r="AS47" s="189">
        <f>+IF(AND(CALCULO!AU44&lt;&gt;"", CALCULO!AU44&gt;0), CALCULO!AU44, 0)</f>
        <v>0</v>
      </c>
      <c r="AT47" s="189">
        <f>+IF(AND(CALCULO!AR44&lt;&gt;"", CALCULO!AR44&gt;0), CALCULO!AR44, 0)</f>
        <v>0</v>
      </c>
      <c r="AU47" s="189">
        <f>+IF(AND(CALCULO!AS44&lt;&gt;"", CALCULO!AS44&gt;0), CALCULO!AS44, 0)</f>
        <v>0</v>
      </c>
      <c r="AV47" s="189">
        <f>+IF(AND(CALCULO!AW44&lt;&gt;"", CALCULO!AW44&gt;0), CALCULO!AW44, 0)</f>
        <v>0</v>
      </c>
      <c r="AW47" s="190">
        <f>+IF(AND(CALCULO!AX44&lt;&gt;"", CALCULO!AX44&gt;0), CALCULO!AX44, 0)</f>
        <v>0</v>
      </c>
      <c r="BE47" s="155" t="str">
        <f>+IF(AND(CALCULO!AV44&lt;&gt;"", CALCULO!AV44&gt;0), CALCULO!AV44, "0")</f>
        <v>0</v>
      </c>
    </row>
    <row r="48" spans="1:57" s="151" customFormat="1" ht="23.25" thickBot="1" x14ac:dyDescent="0.3">
      <c r="A48" s="455"/>
      <c r="B48" s="157" t="s">
        <v>79</v>
      </c>
      <c r="C48" s="155">
        <f t="shared" si="0"/>
        <v>0</v>
      </c>
      <c r="D48" s="155"/>
      <c r="E48" s="155" t="str">
        <f>+IF(AND(CALCULO!E45&lt;&gt;"", CALCULO!E45&gt;0), CALCULO!E45, "")</f>
        <v/>
      </c>
      <c r="F48" s="155">
        <f>+IF(AND(CALCULO!F45&lt;&gt;"", CALCULO!F45&gt;0), CALCULO!F45, 0)</f>
        <v>0</v>
      </c>
      <c r="G48" s="155">
        <f>+IF(AND(CALCULO!G45&lt;&gt;"", CALCULO!G45&gt;0), CALCULO!G45, 0)</f>
        <v>0</v>
      </c>
      <c r="H48" s="155">
        <f>+IF(AND(CALCULO!H45&lt;&gt;"", CALCULO!H45&gt;0), CALCULO!H45, 0)</f>
        <v>0</v>
      </c>
      <c r="I48" s="155">
        <f>+IF(AND(CALCULO!I45&lt;&gt;"", CALCULO!I45&gt;0), CALCULO!I45, 0)</f>
        <v>0</v>
      </c>
      <c r="J48" s="155">
        <f>+IF(AND(CALCULO!J45&lt;&gt;"", CALCULO!J45&gt;0), CALCULO!J45, 0)</f>
        <v>0</v>
      </c>
      <c r="K48" s="155">
        <f>+IF(AND(CALCULO!K45&lt;&gt;"",CALCULO!K45&gt;0),CALCULO!K45,0)</f>
        <v>0</v>
      </c>
      <c r="L48" s="155">
        <f>+IF(AND(CALCULO!L45&lt;&gt;"", CALCULO!L45&gt;0), CALCULO!L45, 0)</f>
        <v>0</v>
      </c>
      <c r="M48" s="155">
        <f>+IF(AND(CALCULO!M45&lt;&gt;"", CALCULO!M45&gt;0), CALCULO!M45, 0)</f>
        <v>0</v>
      </c>
      <c r="N48" s="155">
        <f>+IF(AND(CALCULO!N45&lt;&gt;"", CALCULO!N45&gt;0), CALCULO!N45, 0)</f>
        <v>0</v>
      </c>
      <c r="O48" s="155">
        <f>+IF(AND(CALCULO!O45&lt;&gt;"", CALCULO!O45&gt;0), CALCULO!O45, 0)</f>
        <v>0</v>
      </c>
      <c r="P48" s="155">
        <f>+IF(AND(CALCULO!P45&lt;&gt;"", CALCULO!P45&gt;0), CALCULO!P45, 0)</f>
        <v>0</v>
      </c>
      <c r="Q48" s="189">
        <f>+IF(AND(CALCULO!Q45&lt;&gt;"", CALCULO!Q45&gt;0), CALCULO!Q45, 0)</f>
        <v>0</v>
      </c>
      <c r="R48" s="189">
        <f>+IF(AND(CALCULO!R45&lt;&gt;"", CALCULO!R45&gt;0), CALCULO!R45, 0)</f>
        <v>0</v>
      </c>
      <c r="S48" s="189">
        <f>+IF(AND(CALCULO!S45&lt;&gt;"", CALCULO!S45&gt;0), CALCULO!S45, 0)</f>
        <v>0</v>
      </c>
      <c r="T48" s="189">
        <f>+IF(AND(CALCULO!T45&lt;&gt;"", CALCULO!T45&gt;0), CALCULO!T45, 0)</f>
        <v>0</v>
      </c>
      <c r="U48" s="189">
        <f>+IF(AND(CALCULO!U45&lt;&gt;"", CALCULO!U45&gt;0), CALCULO!U45, 0)</f>
        <v>0</v>
      </c>
      <c r="V48" s="189">
        <f>+IF(AND(CALCULO!V45&lt;&gt;"", CALCULO!V45&gt;0), CALCULO!V45, 0)</f>
        <v>0</v>
      </c>
      <c r="W48" s="189">
        <f>+IF(AND(CALCULO!W45&lt;&gt;"", CALCULO!W45&gt;0), CALCULO!W45, 0)</f>
        <v>0</v>
      </c>
      <c r="X48" s="189">
        <f>+IF(AND(CALCULO!X45&lt;&gt;"", CALCULO!X45&gt;0), CALCULO!X45, 0)</f>
        <v>0</v>
      </c>
      <c r="Y48" s="189">
        <f>+IF(AND(CALCULO!Y45&lt;&gt;"", CALCULO!Y45&gt;0), CALCULO!Y45, 0)</f>
        <v>0</v>
      </c>
      <c r="Z48" s="189">
        <f>+IF(AND(CALCULO!Z45&lt;&gt;"", CALCULO!Z45&gt;0), CALCULO!Z45, 0)</f>
        <v>0</v>
      </c>
      <c r="AA48" s="189">
        <f>+IF(AND(CALCULO!AA45&lt;&gt;"", CALCULO!AA45&gt;0), CALCULO!AA45, 0)</f>
        <v>0</v>
      </c>
      <c r="AB48" s="189">
        <f>+IF(AND(CALCULO!AB45&lt;&gt;"", CALCULO!AB45&gt;0), CALCULO!AB45, 0)</f>
        <v>0</v>
      </c>
      <c r="AC48" s="189">
        <f>+IF(AND(CALCULO!AC45&lt;&gt;"", CALCULO!AC45&gt;0), CALCULO!AC45, 0)</f>
        <v>0</v>
      </c>
      <c r="AD48" s="189">
        <f>+IF(AND(CALCULO!AD45&lt;&gt;"", CALCULO!AD45&gt;0), CALCULO!AD45, 0)</f>
        <v>0</v>
      </c>
      <c r="AE48" s="189">
        <f>+IF(AND(CALCULO!AE45&lt;&gt;"", CALCULO!AE45&gt;0), CALCULO!AE45, 0)</f>
        <v>0</v>
      </c>
      <c r="AF48" s="189">
        <f>+IF(AND(CALCULO!AF45&lt;&gt;"", CALCULO!AF45&gt;0), CALCULO!AF45, 0)</f>
        <v>0</v>
      </c>
      <c r="AG48" s="189">
        <f>+IF(AND(CALCULO!AG45&lt;&gt;"", CALCULO!AG45&gt;0), CALCULO!AG45, 0)</f>
        <v>0</v>
      </c>
      <c r="AH48" s="189">
        <f>+IF(AND(CALCULO!AH45&lt;&gt;"", CALCULO!AH45&gt;0), CALCULO!AH45, 0)</f>
        <v>0</v>
      </c>
      <c r="AI48" s="189">
        <f>+IF(AND(CALCULO!AI45&lt;&gt;"", CALCULO!AI45&gt;0), CALCULO!AI45, 0)</f>
        <v>0</v>
      </c>
      <c r="AJ48" s="189">
        <f>+IF(AND(CALCULO!AJ45&lt;&gt;"", CALCULO!AJ45&gt;0), CALCULO!AJ45, 0)</f>
        <v>0</v>
      </c>
      <c r="AK48" s="189">
        <f>+IF(AND(CALCULO!AK45&lt;&gt;"", CALCULO!AK45&gt;0), CALCULO!AK45, 0)</f>
        <v>0</v>
      </c>
      <c r="AL48" s="189">
        <f>+IF(AND(CALCULO!AL45&lt;&gt;"", CALCULO!AL45&gt;0), CALCULO!AL45, 0)</f>
        <v>0</v>
      </c>
      <c r="AM48" s="189">
        <f>+IF(AND(CALCULO!AM45&lt;&gt;"", CALCULO!AM45&gt;0), CALCULO!AM45, 0)</f>
        <v>0</v>
      </c>
      <c r="AN48" s="204">
        <f>+IF(AND(CALCULO!AN45&lt;&gt;"", CALCULO!AN45&gt;0), CALCULO!AN45, 0)</f>
        <v>0</v>
      </c>
      <c r="AO48" s="189">
        <f>+IF(AND(CALCULO!AO45&lt;&gt;"", CALCULO!AO45&gt;0), CALCULO!AO45, 0)</f>
        <v>0</v>
      </c>
      <c r="AP48" s="189">
        <f>+IF(AND(CALCULO!AP45&lt;&gt;"", CALCULO!AP45&gt;0), CALCULO!AP45, 0)</f>
        <v>0</v>
      </c>
      <c r="AQ48" s="189">
        <f>+IF(AND(CALCULO!AQ45&lt;&gt;"", CALCULO!AQ45&gt;0), CALCULO!AQ45, 0)</f>
        <v>0</v>
      </c>
      <c r="AR48" s="189">
        <f>+IF(AND(CALCULO!AT45&lt;&gt;"", CALCULO!AT45&gt;0), CALCULO!AT45, 0)</f>
        <v>0</v>
      </c>
      <c r="AS48" s="189">
        <f>+IF(AND(CALCULO!AU45&lt;&gt;"", CALCULO!AU45&gt;0), CALCULO!AU45, 0)</f>
        <v>0</v>
      </c>
      <c r="AT48" s="189">
        <f>+IF(AND(CALCULO!AR45&lt;&gt;"", CALCULO!AR45&gt;0), CALCULO!AR45, 0)</f>
        <v>0</v>
      </c>
      <c r="AU48" s="189">
        <f>+IF(AND(CALCULO!AS45&lt;&gt;"", CALCULO!AS45&gt;0), CALCULO!AS45, 0)</f>
        <v>0</v>
      </c>
      <c r="AV48" s="189">
        <f>+IF(AND(CALCULO!AW45&lt;&gt;"", CALCULO!AW45&gt;0), CALCULO!AW45, 0)</f>
        <v>0</v>
      </c>
      <c r="AW48" s="190">
        <f>+IF(AND(CALCULO!AX45&lt;&gt;"", CALCULO!AX45&gt;0), CALCULO!AX45, 0)</f>
        <v>0</v>
      </c>
      <c r="BE48" s="155" t="str">
        <f>+IF(AND(CALCULO!AV45&lt;&gt;"", CALCULO!AV45&gt;0), CALCULO!AV45, "0")</f>
        <v>0</v>
      </c>
    </row>
    <row r="49" spans="1:57" s="151" customFormat="1" ht="54.75" thickBot="1" x14ac:dyDescent="0.3">
      <c r="A49" s="455"/>
      <c r="B49" s="157" t="s">
        <v>80</v>
      </c>
      <c r="C49" s="155">
        <f t="shared" si="0"/>
        <v>0</v>
      </c>
      <c r="D49" s="155"/>
      <c r="E49" s="155" t="str">
        <f>+IF(AND(CALCULO!E46&lt;&gt;"", CALCULO!E46&gt;0), CALCULO!E46, "")</f>
        <v/>
      </c>
      <c r="F49" s="155">
        <f>+IF(AND(CALCULO!F46&lt;&gt;"", CALCULO!F46&gt;0), CALCULO!F46, 0)</f>
        <v>0</v>
      </c>
      <c r="G49" s="155">
        <f>+IF(AND(CALCULO!G46&lt;&gt;"", CALCULO!G46&gt;0), CALCULO!G46, 0)</f>
        <v>0</v>
      </c>
      <c r="H49" s="155">
        <f>+IF(AND(CALCULO!H46&lt;&gt;"", CALCULO!H46&gt;0), CALCULO!H46, 0)</f>
        <v>0</v>
      </c>
      <c r="I49" s="155">
        <f>+IF(AND(CALCULO!I46&lt;&gt;"", CALCULO!I46&gt;0), CALCULO!I46, 0)</f>
        <v>0</v>
      </c>
      <c r="J49" s="155">
        <f>+IF(AND(CALCULO!J46&lt;&gt;"", CALCULO!J46&gt;0), CALCULO!J46, 0)</f>
        <v>0</v>
      </c>
      <c r="K49" s="155">
        <f>+IF(AND(CALCULO!K46&lt;&gt;"",CALCULO!K46&gt;0),CALCULO!K46,0)</f>
        <v>0</v>
      </c>
      <c r="L49" s="155">
        <f>+IF(AND(CALCULO!L46&lt;&gt;"", CALCULO!L46&gt;0), CALCULO!L46, 0)</f>
        <v>0</v>
      </c>
      <c r="M49" s="155">
        <f>+IF(AND(CALCULO!M46&lt;&gt;"", CALCULO!M46&gt;0), CALCULO!M46, 0)</f>
        <v>0</v>
      </c>
      <c r="N49" s="155">
        <f>+IF(AND(CALCULO!N46&lt;&gt;"", CALCULO!N46&gt;0), CALCULO!N46, 0)</f>
        <v>0</v>
      </c>
      <c r="O49" s="155">
        <f>+IF(AND(CALCULO!O46&lt;&gt;"", CALCULO!O46&gt;0), CALCULO!O46, 0)</f>
        <v>0</v>
      </c>
      <c r="P49" s="155">
        <f>+IF(AND(CALCULO!P46&lt;&gt;"", CALCULO!P46&gt;0), CALCULO!P46, 0)</f>
        <v>0</v>
      </c>
      <c r="Q49" s="189">
        <f>+IF(AND(CALCULO!Q46&lt;&gt;"", CALCULO!Q46&gt;0), CALCULO!Q46, 0)</f>
        <v>0</v>
      </c>
      <c r="R49" s="189">
        <f>+IF(AND(CALCULO!R46&lt;&gt;"", CALCULO!R46&gt;0), CALCULO!R46, 0)</f>
        <v>0</v>
      </c>
      <c r="S49" s="189">
        <f>+IF(AND(CALCULO!S46&lt;&gt;"", CALCULO!S46&gt;0), CALCULO!S46, 0)</f>
        <v>0</v>
      </c>
      <c r="T49" s="189">
        <f>+IF(AND(CALCULO!T46&lt;&gt;"", CALCULO!T46&gt;0), CALCULO!T46, 0)</f>
        <v>0</v>
      </c>
      <c r="U49" s="189">
        <f>+IF(AND(CALCULO!U46&lt;&gt;"", CALCULO!U46&gt;0), CALCULO!U46, 0)</f>
        <v>0</v>
      </c>
      <c r="V49" s="189">
        <f>+IF(AND(CALCULO!V46&lt;&gt;"", CALCULO!V46&gt;0), CALCULO!V46, 0)</f>
        <v>0</v>
      </c>
      <c r="W49" s="189">
        <f>+IF(AND(CALCULO!W46&lt;&gt;"", CALCULO!W46&gt;0), CALCULO!W46, 0)</f>
        <v>0</v>
      </c>
      <c r="X49" s="189">
        <f>+IF(AND(CALCULO!X46&lt;&gt;"", CALCULO!X46&gt;0), CALCULO!X46, 0)</f>
        <v>0</v>
      </c>
      <c r="Y49" s="189">
        <f>+IF(AND(CALCULO!Y46&lt;&gt;"", CALCULO!Y46&gt;0), CALCULO!Y46, 0)</f>
        <v>0</v>
      </c>
      <c r="Z49" s="189">
        <f>+IF(AND(CALCULO!Z46&lt;&gt;"", CALCULO!Z46&gt;0), CALCULO!Z46, 0)</f>
        <v>0</v>
      </c>
      <c r="AA49" s="189">
        <f>+IF(AND(CALCULO!AA46&lt;&gt;"", CALCULO!AA46&gt;0), CALCULO!AA46, 0)</f>
        <v>0</v>
      </c>
      <c r="AB49" s="189">
        <f>+IF(AND(CALCULO!AB46&lt;&gt;"", CALCULO!AB46&gt;0), CALCULO!AB46, 0)</f>
        <v>0</v>
      </c>
      <c r="AC49" s="189">
        <f>+IF(AND(CALCULO!AC46&lt;&gt;"", CALCULO!AC46&gt;0), CALCULO!AC46, 0)</f>
        <v>0</v>
      </c>
      <c r="AD49" s="189">
        <f>+IF(AND(CALCULO!AD46&lt;&gt;"", CALCULO!AD46&gt;0), CALCULO!AD46, 0)</f>
        <v>0</v>
      </c>
      <c r="AE49" s="189">
        <f>+IF(AND(CALCULO!AE46&lt;&gt;"", CALCULO!AE46&gt;0), CALCULO!AE46, 0)</f>
        <v>0</v>
      </c>
      <c r="AF49" s="189">
        <f>+IF(AND(CALCULO!AF46&lt;&gt;"", CALCULO!AF46&gt;0), CALCULO!AF46, 0)</f>
        <v>0</v>
      </c>
      <c r="AG49" s="189">
        <f>+IF(AND(CALCULO!AG46&lt;&gt;"", CALCULO!AG46&gt;0), CALCULO!AG46, 0)</f>
        <v>0</v>
      </c>
      <c r="AH49" s="189">
        <f>+IF(AND(CALCULO!AH46&lt;&gt;"", CALCULO!AH46&gt;0), CALCULO!AH46, 0)</f>
        <v>0</v>
      </c>
      <c r="AI49" s="189">
        <f>+IF(AND(CALCULO!AI46&lt;&gt;"", CALCULO!AI46&gt;0), CALCULO!AI46, 0)</f>
        <v>0</v>
      </c>
      <c r="AJ49" s="189">
        <f>+IF(AND(CALCULO!AJ46&lt;&gt;"", CALCULO!AJ46&gt;0), CALCULO!AJ46, 0)</f>
        <v>0</v>
      </c>
      <c r="AK49" s="189">
        <f>+IF(AND(CALCULO!AK46&lt;&gt;"", CALCULO!AK46&gt;0), CALCULO!AK46, 0)</f>
        <v>0</v>
      </c>
      <c r="AL49" s="189">
        <f>+IF(AND(CALCULO!AL46&lt;&gt;"", CALCULO!AL46&gt;0), CALCULO!AL46, 0)</f>
        <v>0</v>
      </c>
      <c r="AM49" s="189">
        <f>+IF(AND(CALCULO!AM46&lt;&gt;"", CALCULO!AM46&gt;0), CALCULO!AM46, 0)</f>
        <v>0</v>
      </c>
      <c r="AN49" s="204">
        <f>+IF(AND(CALCULO!AN46&lt;&gt;"", CALCULO!AN46&gt;0), CALCULO!AN46, 0)</f>
        <v>0</v>
      </c>
      <c r="AO49" s="189">
        <f>+IF(AND(CALCULO!AO46&lt;&gt;"", CALCULO!AO46&gt;0), CALCULO!AO46, 0)</f>
        <v>0</v>
      </c>
      <c r="AP49" s="189">
        <f>+IF(AND(CALCULO!AP46&lt;&gt;"", CALCULO!AP46&gt;0), CALCULO!AP46, 0)</f>
        <v>0</v>
      </c>
      <c r="AQ49" s="189">
        <f>+IF(AND(CALCULO!AQ46&lt;&gt;"", CALCULO!AQ46&gt;0), CALCULO!AQ46, 0)</f>
        <v>0</v>
      </c>
      <c r="AR49" s="189">
        <f>+IF(AND(CALCULO!AT46&lt;&gt;"", CALCULO!AT46&gt;0), CALCULO!AT46, 0)</f>
        <v>0</v>
      </c>
      <c r="AS49" s="189">
        <f>+IF(AND(CALCULO!AU46&lt;&gt;"", CALCULO!AU46&gt;0), CALCULO!AU46, 0)</f>
        <v>0</v>
      </c>
      <c r="AT49" s="189">
        <f>+IF(AND(CALCULO!AR46&lt;&gt;"", CALCULO!AR46&gt;0), CALCULO!AR46, 0)</f>
        <v>0</v>
      </c>
      <c r="AU49" s="189">
        <f>+IF(AND(CALCULO!AS46&lt;&gt;"", CALCULO!AS46&gt;0), CALCULO!AS46, 0)</f>
        <v>0</v>
      </c>
      <c r="AV49" s="189">
        <f>+IF(AND(CALCULO!AW46&lt;&gt;"", CALCULO!AW46&gt;0), CALCULO!AW46, 0)</f>
        <v>0</v>
      </c>
      <c r="AW49" s="190">
        <f>+IF(AND(CALCULO!AX46&lt;&gt;"", CALCULO!AX46&gt;0), CALCULO!AX46, 0)</f>
        <v>0</v>
      </c>
      <c r="BE49" s="155" t="str">
        <f>+IF(AND(CALCULO!AV46&lt;&gt;"", CALCULO!AV46&gt;0), CALCULO!AV46, "0")</f>
        <v>0</v>
      </c>
    </row>
    <row r="50" spans="1:57" s="151" customFormat="1" ht="65.25" thickBot="1" x14ac:dyDescent="0.3">
      <c r="A50" s="455"/>
      <c r="B50" s="157" t="s">
        <v>81</v>
      </c>
      <c r="C50" s="155">
        <f t="shared" si="0"/>
        <v>0</v>
      </c>
      <c r="D50" s="155"/>
      <c r="E50" s="155" t="str">
        <f>+IF(AND(CALCULO!E47&lt;&gt;"", CALCULO!E47&gt;0), CALCULO!E47, "")</f>
        <v/>
      </c>
      <c r="F50" s="155">
        <f>+IF(AND(CALCULO!F47&lt;&gt;"", CALCULO!F47&gt;0), CALCULO!F47, 0)</f>
        <v>0</v>
      </c>
      <c r="G50" s="155">
        <f>+IF(AND(CALCULO!G47&lt;&gt;"", CALCULO!G47&gt;0), CALCULO!G47, 0)</f>
        <v>0</v>
      </c>
      <c r="H50" s="155">
        <f>+IF(AND(CALCULO!H47&lt;&gt;"", CALCULO!H47&gt;0), CALCULO!H47, 0)</f>
        <v>0</v>
      </c>
      <c r="I50" s="155">
        <f>+IF(AND(CALCULO!I47&lt;&gt;"", CALCULO!I47&gt;0), CALCULO!I47, 0)</f>
        <v>0</v>
      </c>
      <c r="J50" s="155">
        <f>+IF(AND(CALCULO!J47&lt;&gt;"", CALCULO!J47&gt;0), CALCULO!J47, 0)</f>
        <v>0</v>
      </c>
      <c r="K50" s="155">
        <f>+IF(AND(CALCULO!K47&lt;&gt;"",CALCULO!K47&gt;0),CALCULO!K47,0)</f>
        <v>0</v>
      </c>
      <c r="L50" s="155">
        <f>+IF(AND(CALCULO!L47&lt;&gt;"", CALCULO!L47&gt;0), CALCULO!L47, 0)</f>
        <v>0</v>
      </c>
      <c r="M50" s="155">
        <f>+IF(AND(CALCULO!M47&lt;&gt;"", CALCULO!M47&gt;0), CALCULO!M47, 0)</f>
        <v>0</v>
      </c>
      <c r="N50" s="155">
        <f>+IF(AND(CALCULO!N47&lt;&gt;"", CALCULO!N47&gt;0), CALCULO!N47, 0)</f>
        <v>0</v>
      </c>
      <c r="O50" s="155">
        <f>+IF(AND(CALCULO!O47&lt;&gt;"", CALCULO!O47&gt;0), CALCULO!O47, 0)</f>
        <v>0</v>
      </c>
      <c r="P50" s="155">
        <f>+IF(AND(CALCULO!P47&lt;&gt;"", CALCULO!P47&gt;0), CALCULO!P47, 0)</f>
        <v>0</v>
      </c>
      <c r="Q50" s="189">
        <f>+IF(AND(CALCULO!Q47&lt;&gt;"", CALCULO!Q47&gt;0), CALCULO!Q47, 0)</f>
        <v>0</v>
      </c>
      <c r="R50" s="189">
        <f>+IF(AND(CALCULO!R47&lt;&gt;"", CALCULO!R47&gt;0), CALCULO!R47, 0)</f>
        <v>0</v>
      </c>
      <c r="S50" s="189">
        <f>+IF(AND(CALCULO!S47&lt;&gt;"", CALCULO!S47&gt;0), CALCULO!S47, 0)</f>
        <v>0</v>
      </c>
      <c r="T50" s="189">
        <f>+IF(AND(CALCULO!T47&lt;&gt;"", CALCULO!T47&gt;0), CALCULO!T47, 0)</f>
        <v>0</v>
      </c>
      <c r="U50" s="189">
        <f>+IF(AND(CALCULO!U47&lt;&gt;"", CALCULO!U47&gt;0), CALCULO!U47, 0)</f>
        <v>0</v>
      </c>
      <c r="V50" s="189">
        <f>+IF(AND(CALCULO!V47&lt;&gt;"", CALCULO!V47&gt;0), CALCULO!V47, 0)</f>
        <v>0</v>
      </c>
      <c r="W50" s="189">
        <f>+IF(AND(CALCULO!W47&lt;&gt;"", CALCULO!W47&gt;0), CALCULO!W47, 0)</f>
        <v>0</v>
      </c>
      <c r="X50" s="189">
        <f>+IF(AND(CALCULO!X47&lt;&gt;"", CALCULO!X47&gt;0), CALCULO!X47, 0)</f>
        <v>0</v>
      </c>
      <c r="Y50" s="189">
        <f>+IF(AND(CALCULO!Y47&lt;&gt;"", CALCULO!Y47&gt;0), CALCULO!Y47, 0)</f>
        <v>0</v>
      </c>
      <c r="Z50" s="189">
        <f>+IF(AND(CALCULO!Z47&lt;&gt;"", CALCULO!Z47&gt;0), CALCULO!Z47, 0)</f>
        <v>0</v>
      </c>
      <c r="AA50" s="189">
        <f>+IF(AND(CALCULO!AA47&lt;&gt;"", CALCULO!AA47&gt;0), CALCULO!AA47, 0)</f>
        <v>0</v>
      </c>
      <c r="AB50" s="189">
        <f>+IF(AND(CALCULO!AB47&lt;&gt;"", CALCULO!AB47&gt;0), CALCULO!AB47, 0)</f>
        <v>0</v>
      </c>
      <c r="AC50" s="189">
        <f>+IF(AND(CALCULO!AC47&lt;&gt;"", CALCULO!AC47&gt;0), CALCULO!AC47, 0)</f>
        <v>0</v>
      </c>
      <c r="AD50" s="189">
        <f>+IF(AND(CALCULO!AD47&lt;&gt;"", CALCULO!AD47&gt;0), CALCULO!AD47, 0)</f>
        <v>0</v>
      </c>
      <c r="AE50" s="189">
        <f>+IF(AND(CALCULO!AE47&lt;&gt;"", CALCULO!AE47&gt;0), CALCULO!AE47, 0)</f>
        <v>0</v>
      </c>
      <c r="AF50" s="189">
        <f>+IF(AND(CALCULO!AF47&lt;&gt;"", CALCULO!AF47&gt;0), CALCULO!AF47, 0)</f>
        <v>0</v>
      </c>
      <c r="AG50" s="189">
        <f>+IF(AND(CALCULO!AG47&lt;&gt;"", CALCULO!AG47&gt;0), CALCULO!AG47, 0)</f>
        <v>0</v>
      </c>
      <c r="AH50" s="189">
        <f>+IF(AND(CALCULO!AH47&lt;&gt;"", CALCULO!AH47&gt;0), CALCULO!AH47, 0)</f>
        <v>0</v>
      </c>
      <c r="AI50" s="189">
        <f>+IF(AND(CALCULO!AI47&lt;&gt;"", CALCULO!AI47&gt;0), CALCULO!AI47, 0)</f>
        <v>0</v>
      </c>
      <c r="AJ50" s="189">
        <f>+IF(AND(CALCULO!AJ47&lt;&gt;"", CALCULO!AJ47&gt;0), CALCULO!AJ47, 0)</f>
        <v>0</v>
      </c>
      <c r="AK50" s="189">
        <f>+IF(AND(CALCULO!AK47&lt;&gt;"", CALCULO!AK47&gt;0), CALCULO!AK47, 0)</f>
        <v>0</v>
      </c>
      <c r="AL50" s="189">
        <f>+IF(AND(CALCULO!AL47&lt;&gt;"", CALCULO!AL47&gt;0), CALCULO!AL47, 0)</f>
        <v>0</v>
      </c>
      <c r="AM50" s="189">
        <f>+IF(AND(CALCULO!AM47&lt;&gt;"", CALCULO!AM47&gt;0), CALCULO!AM47, 0)</f>
        <v>0</v>
      </c>
      <c r="AN50" s="204">
        <f>+IF(AND(CALCULO!AN47&lt;&gt;"", CALCULO!AN47&gt;0), CALCULO!AN47, 0)</f>
        <v>0</v>
      </c>
      <c r="AO50" s="189">
        <f>+IF(AND(CALCULO!AO47&lt;&gt;"", CALCULO!AO47&gt;0), CALCULO!AO47, 0)</f>
        <v>0</v>
      </c>
      <c r="AP50" s="189">
        <f>+IF(AND(CALCULO!AP47&lt;&gt;"", CALCULO!AP47&gt;0), CALCULO!AP47, 0)</f>
        <v>0</v>
      </c>
      <c r="AQ50" s="189">
        <f>+IF(AND(CALCULO!AQ47&lt;&gt;"", CALCULO!AQ47&gt;0), CALCULO!AQ47, 0)</f>
        <v>0</v>
      </c>
      <c r="AR50" s="189">
        <f>+IF(AND(CALCULO!AT47&lt;&gt;"", CALCULO!AT47&gt;0), CALCULO!AT47, 0)</f>
        <v>0</v>
      </c>
      <c r="AS50" s="189">
        <f>+IF(AND(CALCULO!AU47&lt;&gt;"", CALCULO!AU47&gt;0), CALCULO!AU47, 0)</f>
        <v>0</v>
      </c>
      <c r="AT50" s="189">
        <f>+IF(AND(CALCULO!AR47&lt;&gt;"", CALCULO!AR47&gt;0), CALCULO!AR47, 0)</f>
        <v>0</v>
      </c>
      <c r="AU50" s="189">
        <f>+IF(AND(CALCULO!AS47&lt;&gt;"", CALCULO!AS47&gt;0), CALCULO!AS47, 0)</f>
        <v>0</v>
      </c>
      <c r="AV50" s="189">
        <f>+IF(AND(CALCULO!AW47&lt;&gt;"", CALCULO!AW47&gt;0), CALCULO!AW47, 0)</f>
        <v>0</v>
      </c>
      <c r="AW50" s="190">
        <f>+IF(AND(CALCULO!AX47&lt;&gt;"", CALCULO!AX47&gt;0), CALCULO!AX47, 0)</f>
        <v>0</v>
      </c>
      <c r="BE50" s="155" t="str">
        <f>+IF(AND(CALCULO!AV47&lt;&gt;"", CALCULO!AV47&gt;0), CALCULO!AV47, "0")</f>
        <v>0</v>
      </c>
    </row>
    <row r="51" spans="1:57" s="151" customFormat="1" ht="15.75" thickBot="1" x14ac:dyDescent="0.3">
      <c r="A51" s="159" t="s">
        <v>82</v>
      </c>
      <c r="B51" s="159"/>
      <c r="C51" s="155">
        <f t="shared" si="0"/>
        <v>0</v>
      </c>
      <c r="D51" s="155"/>
      <c r="E51" s="155" t="str">
        <f>+IF(AND(CALCULO!E48&lt;&gt;"", CALCULO!E48&gt;0), CALCULO!E48, "")</f>
        <v/>
      </c>
      <c r="F51" s="155">
        <f>+IF(AND(CALCULO!F48&lt;&gt;"", CALCULO!F48&gt;0), CALCULO!F48, 0)</f>
        <v>0</v>
      </c>
      <c r="G51" s="155">
        <f>+IF(AND(CALCULO!G48&lt;&gt;"", CALCULO!G48&gt;0), CALCULO!G48, 0)</f>
        <v>0</v>
      </c>
      <c r="H51" s="155">
        <f>+IF(AND(CALCULO!H48&lt;&gt;"", CALCULO!H48&gt;0), CALCULO!H48, 0)</f>
        <v>0</v>
      </c>
      <c r="I51" s="155">
        <f>+IF(AND(CALCULO!I48&lt;&gt;"", CALCULO!I48&gt;0), CALCULO!I48, 0)</f>
        <v>0</v>
      </c>
      <c r="J51" s="155">
        <f>+IF(AND(CALCULO!J48&lt;&gt;"", CALCULO!J48&gt;0), CALCULO!J48, 0)</f>
        <v>0</v>
      </c>
      <c r="K51" s="155">
        <f>+IF(AND(CALCULO!K48&lt;&gt;"",CALCULO!K48&gt;0),CALCULO!K48,0)</f>
        <v>0</v>
      </c>
      <c r="L51" s="155">
        <f>+IF(AND(CALCULO!L48&lt;&gt;"", CALCULO!L48&gt;0), CALCULO!L48, 0)</f>
        <v>0</v>
      </c>
      <c r="M51" s="155">
        <f>+IF(AND(CALCULO!M48&lt;&gt;"", CALCULO!M48&gt;0), CALCULO!M48, 0)</f>
        <v>0</v>
      </c>
      <c r="N51" s="155">
        <f>+IF(AND(CALCULO!N48&lt;&gt;"", CALCULO!N48&gt;0), CALCULO!N48, 0)</f>
        <v>0</v>
      </c>
      <c r="O51" s="155">
        <f>+IF(AND(CALCULO!O48&lt;&gt;"", CALCULO!O48&gt;0), CALCULO!O48, 0)</f>
        <v>0</v>
      </c>
      <c r="P51" s="155">
        <f>+IF(AND(CALCULO!P48&lt;&gt;"", CALCULO!P48&gt;0), CALCULO!P48, 0)</f>
        <v>0</v>
      </c>
      <c r="Q51" s="189">
        <f>+IF(AND(CALCULO!Q48&lt;&gt;"", CALCULO!Q48&gt;0), CALCULO!Q48, 0)</f>
        <v>0</v>
      </c>
      <c r="R51" s="189">
        <f>+IF(AND(CALCULO!R48&lt;&gt;"", CALCULO!R48&gt;0), CALCULO!R48, 0)</f>
        <v>0</v>
      </c>
      <c r="S51" s="189">
        <f>+IF(AND(CALCULO!S48&lt;&gt;"", CALCULO!S48&gt;0), CALCULO!S48, 0)</f>
        <v>0</v>
      </c>
      <c r="T51" s="189">
        <f>+IF(AND(CALCULO!T48&lt;&gt;"", CALCULO!T48&gt;0), CALCULO!T48, 0)</f>
        <v>0</v>
      </c>
      <c r="U51" s="189">
        <f>+IF(AND(CALCULO!U48&lt;&gt;"", CALCULO!U48&gt;0), CALCULO!U48, 0)</f>
        <v>0</v>
      </c>
      <c r="V51" s="189">
        <f>+IF(AND(CALCULO!V48&lt;&gt;"", CALCULO!V48&gt;0), CALCULO!V48, 0)</f>
        <v>0</v>
      </c>
      <c r="W51" s="189">
        <f>+IF(AND(CALCULO!W48&lt;&gt;"", CALCULO!W48&gt;0), CALCULO!W48, 0)</f>
        <v>0</v>
      </c>
      <c r="X51" s="189">
        <f>+IF(AND(CALCULO!X48&lt;&gt;"", CALCULO!X48&gt;0), CALCULO!X48, 0)</f>
        <v>0</v>
      </c>
      <c r="Y51" s="189">
        <f>+IF(AND(CALCULO!Y48&lt;&gt;"", CALCULO!Y48&gt;0), CALCULO!Y48, 0)</f>
        <v>0</v>
      </c>
      <c r="Z51" s="189">
        <f>+IF(AND(CALCULO!Z48&lt;&gt;"", CALCULO!Z48&gt;0), CALCULO!Z48, 0)</f>
        <v>0</v>
      </c>
      <c r="AA51" s="189">
        <f>+IF(AND(CALCULO!AA48&lt;&gt;"", CALCULO!AA48&gt;0), CALCULO!AA48, 0)</f>
        <v>0</v>
      </c>
      <c r="AB51" s="189">
        <f>+IF(AND(CALCULO!AB48&lt;&gt;"", CALCULO!AB48&gt;0), CALCULO!AB48, 0)</f>
        <v>0</v>
      </c>
      <c r="AC51" s="189">
        <f>+IF(AND(CALCULO!AC48&lt;&gt;"", CALCULO!AC48&gt;0), CALCULO!AC48, 0)</f>
        <v>0</v>
      </c>
      <c r="AD51" s="189">
        <f>+IF(AND(CALCULO!AD48&lt;&gt;"", CALCULO!AD48&gt;0), CALCULO!AD48, 0)</f>
        <v>0</v>
      </c>
      <c r="AE51" s="189">
        <f>+IF(AND(CALCULO!AE48&lt;&gt;"", CALCULO!AE48&gt;0), CALCULO!AE48, 0)</f>
        <v>0</v>
      </c>
      <c r="AF51" s="189">
        <f>+IF(AND(CALCULO!AF48&lt;&gt;"", CALCULO!AF48&gt;0), CALCULO!AF48, 0)</f>
        <v>0</v>
      </c>
      <c r="AG51" s="189">
        <f>+IF(AND(CALCULO!AG48&lt;&gt;"", CALCULO!AG48&gt;0), CALCULO!AG48, 0)</f>
        <v>0</v>
      </c>
      <c r="AH51" s="189">
        <f>+IF(AND(CALCULO!AH48&lt;&gt;"", CALCULO!AH48&gt;0), CALCULO!AH48, 0)</f>
        <v>0</v>
      </c>
      <c r="AI51" s="189">
        <f>+IF(AND(CALCULO!AI48&lt;&gt;"", CALCULO!AI48&gt;0), CALCULO!AI48, 0)</f>
        <v>0</v>
      </c>
      <c r="AJ51" s="189">
        <f>+IF(AND(CALCULO!AJ48&lt;&gt;"", CALCULO!AJ48&gt;0), CALCULO!AJ48, 0)</f>
        <v>0</v>
      </c>
      <c r="AK51" s="189">
        <f>+IF(AND(CALCULO!AK48&lt;&gt;"", CALCULO!AK48&gt;0), CALCULO!AK48, 0)</f>
        <v>0</v>
      </c>
      <c r="AL51" s="189">
        <f>+IF(AND(CALCULO!AL48&lt;&gt;"", CALCULO!AL48&gt;0), CALCULO!AL48, 0)</f>
        <v>0</v>
      </c>
      <c r="AM51" s="189">
        <f>+IF(AND(CALCULO!AM48&lt;&gt;"", CALCULO!AM48&gt;0), CALCULO!AM48, 0)</f>
        <v>0</v>
      </c>
      <c r="AN51" s="204">
        <f>+IF(AND(CALCULO!AN48&lt;&gt;"", CALCULO!AN48&gt;0), CALCULO!AN48, 0)</f>
        <v>0</v>
      </c>
      <c r="AO51" s="189">
        <f>+IF(AND(CALCULO!AO48&lt;&gt;"", CALCULO!AO48&gt;0), CALCULO!AO48, 0)</f>
        <v>0</v>
      </c>
      <c r="AP51" s="189">
        <f>+IF(AND(CALCULO!AP48&lt;&gt;"", CALCULO!AP48&gt;0), CALCULO!AP48, 0)</f>
        <v>0</v>
      </c>
      <c r="AQ51" s="189">
        <f>+IF(AND(CALCULO!AQ48&lt;&gt;"", CALCULO!AQ48&gt;0), CALCULO!AQ48, 0)</f>
        <v>0</v>
      </c>
      <c r="AR51" s="189">
        <f>+IF(AND(CALCULO!AT48&lt;&gt;"", CALCULO!AT48&gt;0), CALCULO!AT48, 0)</f>
        <v>0</v>
      </c>
      <c r="AS51" s="189">
        <f>+IF(AND(CALCULO!AU48&lt;&gt;"", CALCULO!AU48&gt;0), CALCULO!AU48, 0)</f>
        <v>0</v>
      </c>
      <c r="AT51" s="189">
        <f>+IF(AND(CALCULO!AR48&lt;&gt;"", CALCULO!AR48&gt;0), CALCULO!AR48, 0)</f>
        <v>0</v>
      </c>
      <c r="AU51" s="189">
        <f>+IF(AND(CALCULO!AS48&lt;&gt;"", CALCULO!AS48&gt;0), CALCULO!AS48, 0)</f>
        <v>0</v>
      </c>
      <c r="AV51" s="189">
        <f>+IF(AND(CALCULO!AW48&lt;&gt;"", CALCULO!AW48&gt;0), CALCULO!AW48, 0)</f>
        <v>0</v>
      </c>
      <c r="AW51" s="190">
        <f>+IF(AND(CALCULO!AX48&lt;&gt;"", CALCULO!AX48&gt;0), CALCULO!AX48, 0)</f>
        <v>0</v>
      </c>
      <c r="BE51" s="155" t="str">
        <f>+IF(AND(CALCULO!AV48&lt;&gt;"", CALCULO!AV48&gt;0), CALCULO!AV48, "0")</f>
        <v>0</v>
      </c>
    </row>
    <row r="52" spans="1:57" s="151" customFormat="1" x14ac:dyDescent="0.25">
      <c r="A52" s="447" t="s">
        <v>83</v>
      </c>
      <c r="B52" s="447"/>
      <c r="C52" s="155">
        <f t="shared" si="0"/>
        <v>63</v>
      </c>
      <c r="D52" s="155"/>
      <c r="E52" s="155">
        <f>+IF(AND(CALCULO!E49&lt;&gt;"", CALCULO!E49&gt;0), CALCULO!E49, "")</f>
        <v>46</v>
      </c>
      <c r="F52" s="155">
        <f>+IF(AND(CALCULO!F49&lt;&gt;"", CALCULO!F49&gt;0), CALCULO!F49, 0)</f>
        <v>0</v>
      </c>
      <c r="G52" s="155">
        <f>+IF(AND(CALCULO!G49&lt;&gt;"", CALCULO!G49&gt;0), CALCULO!G49, 0)</f>
        <v>0</v>
      </c>
      <c r="H52" s="155">
        <f>+IF(AND(CALCULO!H49&lt;&gt;"", CALCULO!H49&gt;0), CALCULO!H49, 0)</f>
        <v>0</v>
      </c>
      <c r="I52" s="155">
        <f>+IF(AND(CALCULO!I49&lt;&gt;"", CALCULO!I49&gt;0), CALCULO!I49, 0)</f>
        <v>0</v>
      </c>
      <c r="J52" s="155">
        <f>+IF(AND(CALCULO!J49&lt;&gt;"", CALCULO!J49&gt;0), CALCULO!J49, 0)</f>
        <v>1</v>
      </c>
      <c r="K52" s="155">
        <f>+IF(AND(CALCULO!K49&lt;&gt;"",CALCULO!K49&gt;0),CALCULO!K49,0)</f>
        <v>0</v>
      </c>
      <c r="L52" s="155">
        <f>+IF(AND(CALCULO!L49&lt;&gt;"", CALCULO!L49&gt;0), CALCULO!L49, 0)</f>
        <v>0</v>
      </c>
      <c r="M52" s="155">
        <f>+IF(AND(CALCULO!M49&lt;&gt;"", CALCULO!M49&gt;0), CALCULO!M49, 0)</f>
        <v>3</v>
      </c>
      <c r="N52" s="155">
        <f>+IF(AND(CALCULO!N49&lt;&gt;"", CALCULO!N49&gt;0), CALCULO!N49, 0)</f>
        <v>1</v>
      </c>
      <c r="O52" s="155">
        <f>+IF(AND(CALCULO!O49&lt;&gt;"", CALCULO!O49&gt;0), CALCULO!O49, 0)</f>
        <v>0</v>
      </c>
      <c r="P52" s="155">
        <f>+IF(AND(CALCULO!P49&lt;&gt;"", CALCULO!P49&gt;0), CALCULO!P49, 0)</f>
        <v>2</v>
      </c>
      <c r="Q52" s="189">
        <f>+IF(AND(CALCULO!Q49&lt;&gt;"", CALCULO!Q49&gt;0), CALCULO!Q49, 0)</f>
        <v>6</v>
      </c>
      <c r="R52" s="189">
        <f>+IF(AND(CALCULO!R49&lt;&gt;"", CALCULO!R49&gt;0), CALCULO!R49, 0)</f>
        <v>0</v>
      </c>
      <c r="S52" s="189">
        <f>+IF(AND(CALCULO!S49&lt;&gt;"", CALCULO!S49&gt;0), CALCULO!S49, 0)</f>
        <v>3</v>
      </c>
      <c r="T52" s="189">
        <f>+IF(AND(CALCULO!T49&lt;&gt;"", CALCULO!T49&gt;0), CALCULO!T49, 0)</f>
        <v>3</v>
      </c>
      <c r="U52" s="189">
        <f>+IF(AND(CALCULO!U49&lt;&gt;"", CALCULO!U49&gt;0), CALCULO!U49, 0)</f>
        <v>5</v>
      </c>
      <c r="V52" s="189">
        <f>+IF(AND(CALCULO!V49&lt;&gt;"", CALCULO!V49&gt;0), CALCULO!V49, 0)</f>
        <v>0</v>
      </c>
      <c r="W52" s="189">
        <f>+IF(AND(CALCULO!W49&lt;&gt;"", CALCULO!W49&gt;0), CALCULO!W49, 0)</f>
        <v>2</v>
      </c>
      <c r="X52" s="189">
        <f>+IF(AND(CALCULO!X49&lt;&gt;"", CALCULO!X49&gt;0), CALCULO!X49, 0)</f>
        <v>0</v>
      </c>
      <c r="Y52" s="189">
        <f>+IF(AND(CALCULO!Y49&lt;&gt;"", CALCULO!Y49&gt;0), CALCULO!Y49, 0)</f>
        <v>1</v>
      </c>
      <c r="Z52" s="189">
        <f>+IF(AND(CALCULO!Z49&lt;&gt;"", CALCULO!Z49&gt;0), CALCULO!Z49, 0)</f>
        <v>2</v>
      </c>
      <c r="AA52" s="189">
        <f>+IF(AND(CALCULO!AA49&lt;&gt;"", CALCULO!AA49&gt;0), CALCULO!AA49, 0)</f>
        <v>3</v>
      </c>
      <c r="AB52" s="189">
        <f>+IF(AND(CALCULO!AB49&lt;&gt;"", CALCULO!AB49&gt;0), CALCULO!AB49, 0)</f>
        <v>0</v>
      </c>
      <c r="AC52" s="189">
        <f>+IF(AND(CALCULO!AC49&lt;&gt;"", CALCULO!AC49&gt;0), CALCULO!AC49, 0)</f>
        <v>6</v>
      </c>
      <c r="AD52" s="189">
        <f>+IF(AND(CALCULO!AD49&lt;&gt;"", CALCULO!AD49&gt;0), CALCULO!AD49, 0)</f>
        <v>0</v>
      </c>
      <c r="AE52" s="189">
        <f>+IF(AND(CALCULO!AE49&lt;&gt;"", CALCULO!AE49&gt;0), CALCULO!AE49, 0)</f>
        <v>4</v>
      </c>
      <c r="AF52" s="189">
        <f>+IF(AND(CALCULO!AF49&lt;&gt;"", CALCULO!AF49&gt;0), CALCULO!AF49, 0)</f>
        <v>3</v>
      </c>
      <c r="AG52" s="189">
        <f>+IF(AND(CALCULO!AG49&lt;&gt;"", CALCULO!AG49&gt;0), CALCULO!AG49, 0)</f>
        <v>5</v>
      </c>
      <c r="AH52" s="189">
        <f>+IF(AND(CALCULO!AH49&lt;&gt;"", CALCULO!AH49&gt;0), CALCULO!AH49, 0)</f>
        <v>2</v>
      </c>
      <c r="AI52" s="189">
        <f>+IF(AND(CALCULO!AI49&lt;&gt;"", CALCULO!AI49&gt;0), CALCULO!AI49, 0)</f>
        <v>3</v>
      </c>
      <c r="AJ52" s="189">
        <f>+IF(AND(CALCULO!AJ49&lt;&gt;"", CALCULO!AJ49&gt;0), CALCULO!AJ49, 0)</f>
        <v>0</v>
      </c>
      <c r="AK52" s="189">
        <f>+IF(AND(CALCULO!AK49&lt;&gt;"", CALCULO!AK49&gt;0), CALCULO!AK49, 0)</f>
        <v>4</v>
      </c>
      <c r="AL52" s="189">
        <f>+IF(AND(CALCULO!AL49&lt;&gt;"", CALCULO!AL49&gt;0), CALCULO!AL49, 0)</f>
        <v>3</v>
      </c>
      <c r="AM52" s="189">
        <f>+IF(AND(CALCULO!AM49&lt;&gt;"", CALCULO!AM49&gt;0), CALCULO!AM49, 0)</f>
        <v>1</v>
      </c>
      <c r="AN52" s="204">
        <f>+IF(AND(CALCULO!AN49&lt;&gt;"", CALCULO!AN49&gt;0), CALCULO!AN49, 0)</f>
        <v>0</v>
      </c>
      <c r="AO52" s="189">
        <f>+IF(AND(CALCULO!AO49&lt;&gt;"", CALCULO!AO49&gt;0), CALCULO!AO49, 0)</f>
        <v>4</v>
      </c>
      <c r="AP52" s="189">
        <f>+IF(AND(CALCULO!AP49&lt;&gt;"", CALCULO!AP49&gt;0), CALCULO!AP49, 0)</f>
        <v>1</v>
      </c>
      <c r="AQ52" s="189">
        <f>+IF(AND(CALCULO!AQ49&lt;&gt;"", CALCULO!AQ49&gt;0), CALCULO!AQ49, 0)</f>
        <v>1</v>
      </c>
      <c r="AR52" s="189">
        <f>+IF(AND(CALCULO!AT49&lt;&gt;"", CALCULO!AT49&gt;0), CALCULO!AT49, 0)</f>
        <v>0</v>
      </c>
      <c r="AS52" s="189">
        <f>+IF(AND(CALCULO!AU49&lt;&gt;"", CALCULO!AU49&gt;0), CALCULO!AU49, 0)</f>
        <v>0</v>
      </c>
      <c r="AT52" s="189">
        <f>+IF(AND(CALCULO!AR49&lt;&gt;"", CALCULO!AR49&gt;0), CALCULO!AR49, 0)</f>
        <v>0</v>
      </c>
      <c r="AU52" s="189">
        <f>+IF(AND(CALCULO!AS49&lt;&gt;"", CALCULO!AS49&gt;0), CALCULO!AS49, 0)</f>
        <v>0</v>
      </c>
      <c r="AV52" s="189">
        <f>+IF(AND(CALCULO!AW49&lt;&gt;"", CALCULO!AW49&gt;0), CALCULO!AW49, 0)</f>
        <v>2</v>
      </c>
      <c r="AW52" s="190">
        <f>+IF(AND(CALCULO!AX49&lt;&gt;"", CALCULO!AX49&gt;0), CALCULO!AX49, 0)</f>
        <v>0</v>
      </c>
      <c r="BE52" s="155" t="str">
        <f>+IF(AND(CALCULO!AV49&lt;&gt;"", CALCULO!AV49&gt;0), CALCULO!AV49, "0")</f>
        <v>0</v>
      </c>
    </row>
  </sheetData>
  <mergeCells count="50">
    <mergeCell ref="AT2:AU2"/>
    <mergeCell ref="AV2:AW2"/>
    <mergeCell ref="AN1:AN3"/>
    <mergeCell ref="AO1:AO3"/>
    <mergeCell ref="AP1:AQ2"/>
    <mergeCell ref="A1:B3"/>
    <mergeCell ref="C1:E2"/>
    <mergeCell ref="F1:AM1"/>
    <mergeCell ref="BA1:BB2"/>
    <mergeCell ref="BC1:BC3"/>
    <mergeCell ref="F2:G2"/>
    <mergeCell ref="H2:I2"/>
    <mergeCell ref="J2:K2"/>
    <mergeCell ref="P2:Q2"/>
    <mergeCell ref="R2:S2"/>
    <mergeCell ref="T2:U2"/>
    <mergeCell ref="V2:W2"/>
    <mergeCell ref="L2:M2"/>
    <mergeCell ref="N2:O2"/>
    <mergeCell ref="AR2:AR3"/>
    <mergeCell ref="AS2:AS3"/>
    <mergeCell ref="BD1:BD3"/>
    <mergeCell ref="BE1:BE3"/>
    <mergeCell ref="BF1:BG2"/>
    <mergeCell ref="A33:A37"/>
    <mergeCell ref="AJ2:AK2"/>
    <mergeCell ref="AL2:AM2"/>
    <mergeCell ref="A4:B4"/>
    <mergeCell ref="A5:B5"/>
    <mergeCell ref="A6:A7"/>
    <mergeCell ref="A12:B12"/>
    <mergeCell ref="X2:Y2"/>
    <mergeCell ref="Z2:AA2"/>
    <mergeCell ref="AB2:AC2"/>
    <mergeCell ref="AD2:AE2"/>
    <mergeCell ref="AF2:AG2"/>
    <mergeCell ref="AH2:AI2"/>
    <mergeCell ref="A13:A14"/>
    <mergeCell ref="A15:B15"/>
    <mergeCell ref="A16:A20"/>
    <mergeCell ref="A24:A28"/>
    <mergeCell ref="A29:A32"/>
    <mergeCell ref="A21:B23"/>
    <mergeCell ref="A52:B52"/>
    <mergeCell ref="A38:A40"/>
    <mergeCell ref="A41:B41"/>
    <mergeCell ref="A43:B43"/>
    <mergeCell ref="A44:B44"/>
    <mergeCell ref="A45:B45"/>
    <mergeCell ref="A46:A50"/>
  </mergeCells>
  <pageMargins left="0.7" right="0.7" top="0.75" bottom="0.75" header="0.3" footer="0.3"/>
  <ignoredErrors>
    <ignoredError sqref="R24:AM52 R12:AM20" calculatedColumn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BH56"/>
  <sheetViews>
    <sheetView tabSelected="1" topLeftCell="AC22" workbookViewId="0">
      <selection activeCell="E15" sqref="E15"/>
    </sheetView>
  </sheetViews>
  <sheetFormatPr baseColWidth="10" defaultRowHeight="15" x14ac:dyDescent="0.25"/>
  <cols>
    <col min="2" max="4" width="13.7109375" customWidth="1"/>
    <col min="43" max="43" width="20" bestFit="1" customWidth="1"/>
    <col min="53" max="53" width="11.42578125" style="341"/>
  </cols>
  <sheetData>
    <row r="1" spans="1:60" ht="15.75" thickBot="1" x14ac:dyDescent="0.3">
      <c r="A1" t="s">
        <v>190</v>
      </c>
      <c r="BB1" t="s">
        <v>185</v>
      </c>
    </row>
    <row r="2" spans="1:60" ht="15" customHeight="1" x14ac:dyDescent="0.25">
      <c r="C2" s="433" t="s">
        <v>157</v>
      </c>
      <c r="D2" s="434"/>
      <c r="E2" s="437" t="s">
        <v>158</v>
      </c>
      <c r="F2" s="427"/>
      <c r="G2" s="438"/>
      <c r="H2" s="437" t="s">
        <v>159</v>
      </c>
      <c r="I2" s="427"/>
      <c r="J2" s="427" t="s">
        <v>160</v>
      </c>
      <c r="K2" s="427"/>
      <c r="L2" s="427" t="s">
        <v>161</v>
      </c>
      <c r="M2" s="427"/>
      <c r="N2" s="427" t="s">
        <v>162</v>
      </c>
      <c r="O2" s="427"/>
      <c r="P2" s="413" t="s">
        <v>163</v>
      </c>
      <c r="Q2" s="414"/>
      <c r="R2" s="404" t="s">
        <v>164</v>
      </c>
      <c r="S2" s="404"/>
      <c r="T2" s="404" t="s">
        <v>165</v>
      </c>
      <c r="U2" s="404"/>
      <c r="V2" s="404" t="s">
        <v>166</v>
      </c>
      <c r="W2" s="404"/>
      <c r="X2" s="404" t="s">
        <v>167</v>
      </c>
      <c r="Y2" s="404"/>
      <c r="Z2" s="404" t="s">
        <v>168</v>
      </c>
      <c r="AA2" s="404"/>
      <c r="AB2" s="404" t="s">
        <v>169</v>
      </c>
      <c r="AC2" s="404"/>
      <c r="AD2" s="404" t="s">
        <v>170</v>
      </c>
      <c r="AE2" s="404"/>
      <c r="AF2" s="404" t="s">
        <v>171</v>
      </c>
      <c r="AG2" s="404"/>
      <c r="AH2" s="404" t="s">
        <v>172</v>
      </c>
      <c r="AI2" s="404"/>
      <c r="AJ2" s="404" t="s">
        <v>173</v>
      </c>
      <c r="AK2" s="404"/>
      <c r="AL2" s="404" t="s">
        <v>174</v>
      </c>
      <c r="AM2" s="404"/>
      <c r="AN2" s="404" t="s">
        <v>27</v>
      </c>
      <c r="AO2" s="405"/>
      <c r="AP2" s="406" t="s">
        <v>175</v>
      </c>
      <c r="AQ2" s="407"/>
      <c r="AR2" s="408"/>
      <c r="AS2" s="409" t="s">
        <v>3</v>
      </c>
      <c r="AT2" s="411" t="s">
        <v>176</v>
      </c>
      <c r="AU2" s="404" t="s">
        <v>5</v>
      </c>
      <c r="AV2" s="404"/>
      <c r="AW2" s="395" t="s">
        <v>177</v>
      </c>
      <c r="AX2" s="395" t="s">
        <v>8</v>
      </c>
      <c r="AY2" s="395" t="s">
        <v>178</v>
      </c>
      <c r="AZ2" s="397" t="s">
        <v>179</v>
      </c>
      <c r="BB2" s="428" t="s">
        <v>6</v>
      </c>
      <c r="BC2" s="429"/>
      <c r="BD2" s="416" t="s">
        <v>7</v>
      </c>
      <c r="BE2" s="416" t="s">
        <v>8</v>
      </c>
      <c r="BF2" s="416" t="s">
        <v>9</v>
      </c>
      <c r="BG2" s="415" t="s">
        <v>10</v>
      </c>
      <c r="BH2" s="416"/>
    </row>
    <row r="3" spans="1:60" ht="21.75" thickBot="1" x14ac:dyDescent="0.3">
      <c r="C3" s="435"/>
      <c r="D3" s="436"/>
      <c r="E3" s="268" t="s">
        <v>180</v>
      </c>
      <c r="F3" s="168" t="s">
        <v>29</v>
      </c>
      <c r="G3" s="269" t="s">
        <v>30</v>
      </c>
      <c r="H3" s="282" t="s">
        <v>29</v>
      </c>
      <c r="I3" s="283" t="s">
        <v>30</v>
      </c>
      <c r="J3" s="284" t="s">
        <v>29</v>
      </c>
      <c r="K3" s="283" t="s">
        <v>30</v>
      </c>
      <c r="L3" s="284" t="s">
        <v>29</v>
      </c>
      <c r="M3" s="283" t="s">
        <v>30</v>
      </c>
      <c r="N3" s="284" t="s">
        <v>29</v>
      </c>
      <c r="O3" s="283" t="s">
        <v>30</v>
      </c>
      <c r="P3" s="284" t="s">
        <v>29</v>
      </c>
      <c r="Q3" s="283" t="s">
        <v>30</v>
      </c>
      <c r="R3" s="284" t="s">
        <v>29</v>
      </c>
      <c r="S3" s="283" t="s">
        <v>30</v>
      </c>
      <c r="T3" s="284" t="s">
        <v>29</v>
      </c>
      <c r="U3" s="283" t="s">
        <v>30</v>
      </c>
      <c r="V3" s="284" t="s">
        <v>29</v>
      </c>
      <c r="W3" s="283" t="s">
        <v>30</v>
      </c>
      <c r="X3" s="284" t="s">
        <v>29</v>
      </c>
      <c r="Y3" s="283" t="s">
        <v>30</v>
      </c>
      <c r="Z3" s="284" t="s">
        <v>29</v>
      </c>
      <c r="AA3" s="283" t="s">
        <v>30</v>
      </c>
      <c r="AB3" s="284" t="s">
        <v>29</v>
      </c>
      <c r="AC3" s="283" t="s">
        <v>30</v>
      </c>
      <c r="AD3" s="284" t="s">
        <v>29</v>
      </c>
      <c r="AE3" s="283" t="s">
        <v>30</v>
      </c>
      <c r="AF3" s="284" t="s">
        <v>29</v>
      </c>
      <c r="AG3" s="283" t="s">
        <v>30</v>
      </c>
      <c r="AH3" s="284" t="s">
        <v>29</v>
      </c>
      <c r="AI3" s="283" t="s">
        <v>30</v>
      </c>
      <c r="AJ3" s="284" t="s">
        <v>29</v>
      </c>
      <c r="AK3" s="283" t="s">
        <v>30</v>
      </c>
      <c r="AL3" s="284" t="s">
        <v>29</v>
      </c>
      <c r="AM3" s="283" t="s">
        <v>30</v>
      </c>
      <c r="AN3" s="284" t="s">
        <v>29</v>
      </c>
      <c r="AO3" s="285" t="s">
        <v>30</v>
      </c>
      <c r="AP3" s="292" t="s">
        <v>181</v>
      </c>
      <c r="AQ3" s="286" t="s">
        <v>182</v>
      </c>
      <c r="AR3" s="293" t="s">
        <v>183</v>
      </c>
      <c r="AS3" s="410"/>
      <c r="AT3" s="412"/>
      <c r="AU3" s="284" t="s">
        <v>29</v>
      </c>
      <c r="AV3" s="283" t="s">
        <v>30</v>
      </c>
      <c r="AW3" s="396"/>
      <c r="AX3" s="396"/>
      <c r="AY3" s="396"/>
      <c r="AZ3" s="398"/>
      <c r="BB3" s="430"/>
      <c r="BC3" s="431"/>
      <c r="BD3" s="432"/>
      <c r="BE3" s="432"/>
      <c r="BF3" s="432"/>
      <c r="BG3" s="417"/>
      <c r="BH3" s="418"/>
    </row>
    <row r="4" spans="1:60" x14ac:dyDescent="0.25">
      <c r="C4" s="399" t="s">
        <v>184</v>
      </c>
      <c r="D4" s="400"/>
      <c r="E4" s="228">
        <f>+SUM(H4:AO4)</f>
        <v>83</v>
      </c>
      <c r="F4" s="154">
        <f>IF(AND(CALCULO!D4&lt;&gt;"", CALCULO!D4&lt;0), CALCULO!D4 * -1, "")</f>
        <v>27</v>
      </c>
      <c r="G4" s="219" t="str">
        <f>IF(AND(CALCULO!E4&lt;&gt;"", CALCULO!E4&lt;0), CALCULO!E4 * -1, "")</f>
        <v/>
      </c>
      <c r="H4" s="281">
        <f>IF(AND(CALCULO!F4&lt;&gt;"", CALCULO!F4&lt;0), CALCULO!F4 * -1, 0)</f>
        <v>0</v>
      </c>
      <c r="I4" s="207">
        <f>IF(AND(CALCULO!G4&lt;&gt;"", CALCULO!G4&lt;0), CALCULO!G4 * -1, 0)</f>
        <v>0</v>
      </c>
      <c r="J4" s="207">
        <f>IF(AND(CALCULO!H4&lt;&gt;"", CALCULO!H4&lt;0), CALCULO!H4 * -1, 0)</f>
        <v>0</v>
      </c>
      <c r="K4" s="207">
        <f>IF(AND(CALCULO!I4&lt;&gt;"", CALCULO!I4&lt;0), CALCULO!I4 * -1, 0)</f>
        <v>1</v>
      </c>
      <c r="L4" s="207">
        <f>IF(AND(CALCULO!J4&lt;&gt;"", CALCULO!J4&lt;0), CALCULO!J4 * -1, 0)</f>
        <v>4</v>
      </c>
      <c r="M4" s="207">
        <f>IF(AND(CALCULO!K4&lt;&gt;"", CALCULO!K4&lt;0), CALCULO!K4 * -1, 0)</f>
        <v>4</v>
      </c>
      <c r="N4" s="207">
        <f>IF(AND(CALCULO!L4&lt;&gt;"", CALCULO!L4&lt;0), CALCULO!L4 * -1, 0)</f>
        <v>6</v>
      </c>
      <c r="O4" s="207">
        <f>IF(AND(CALCULO!M4&lt;&gt;"", CALCULO!M4&lt;0), CALCULO!M4 * -1, 0)</f>
        <v>0</v>
      </c>
      <c r="P4" s="207">
        <f>IF(AND(CALCULO!N4&lt;&gt;"", CALCULO!N4&lt;0), CALCULO!N4 * -1, 0)</f>
        <v>0</v>
      </c>
      <c r="Q4" s="207">
        <f>IF(AND(CALCULO!O4&lt;&gt;"", CALCULO!O4&lt;0), CALCULO!O4 * -1, 0)</f>
        <v>13</v>
      </c>
      <c r="R4" s="207">
        <f>IF(AND(CALCULO!P4&lt;&gt;"", CALCULO!P4&lt;0), CALCULO!P4 * -1, 0)</f>
        <v>3</v>
      </c>
      <c r="S4" s="207">
        <f>IF(AND(CALCULO!Q4&lt;&gt;"", CALCULO!Q4&lt;0), CALCULO!Q4 * -1, 0)</f>
        <v>0</v>
      </c>
      <c r="T4" s="207">
        <f>IF(AND(CALCULO!R4&lt;&gt;"", CALCULO!R4&lt;0), CALCULO!R4 * -1, 0)</f>
        <v>2</v>
      </c>
      <c r="U4" s="207">
        <f>IF(AND(CALCULO!S4&lt;&gt;"", CALCULO!S4&lt;0), CALCULO!S4 * -1, 0)</f>
        <v>3</v>
      </c>
      <c r="V4" s="207">
        <f>IF(AND(CALCULO!T4&lt;&gt;"", CALCULO!T4&lt;0), CALCULO!T4 * -1, 0)</f>
        <v>3</v>
      </c>
      <c r="W4" s="207">
        <f>IF(AND(CALCULO!U4&lt;&gt;"", CALCULO!U4&lt;0), CALCULO!U4 * -1, 0)</f>
        <v>0</v>
      </c>
      <c r="X4" s="207">
        <f>IF(AND(CALCULO!V4&lt;&gt;"", CALCULO!V4&lt;0), CALCULO!V4 * -1, 0)</f>
        <v>1</v>
      </c>
      <c r="Y4" s="207">
        <f>IF(AND(CALCULO!W4&lt;&gt;"", CALCULO!W4&lt;0), CALCULO!W4 * -1, 0)</f>
        <v>9</v>
      </c>
      <c r="Z4" s="207">
        <f>IF(AND(CALCULO!X4&lt;&gt;"", CALCULO!X4&lt;0), CALCULO!X4 * -1, 0)</f>
        <v>4</v>
      </c>
      <c r="AA4" s="207">
        <f>IF(AND(CALCULO!Y4&lt;&gt;"", CALCULO!Y4&lt;0), CALCULO!Y4 * -1, 0)</f>
        <v>0</v>
      </c>
      <c r="AB4" s="207">
        <f>IF(AND(CALCULO!Z4&lt;&gt;"", CALCULO!Z4&lt;0), CALCULO!Z4 * -1, 0)</f>
        <v>6</v>
      </c>
      <c r="AC4" s="207">
        <f>IF(AND(CALCULO!AA4&lt;&gt;"", CALCULO!AA4&lt;0), CALCULO!AA4 * -1, 0)</f>
        <v>0</v>
      </c>
      <c r="AD4" s="207">
        <f>IF(AND(CALCULO!AB4&lt;&gt;"", CALCULO!AB4&lt;0), CALCULO!AB4 * -1, 0)</f>
        <v>0</v>
      </c>
      <c r="AE4" s="207">
        <f>IF(AND(CALCULO!AC4&lt;&gt;"", CALCULO!AC4&lt;0), CALCULO!AC4 * -1, 0)</f>
        <v>7</v>
      </c>
      <c r="AF4" s="207">
        <f>IF(AND(CALCULO!AD4&lt;&gt;"", CALCULO!AD4&lt;0), CALCULO!AD4 * -1, 0)</f>
        <v>14</v>
      </c>
      <c r="AG4" s="207">
        <f>IF(AND(CALCULO!AE4&lt;&gt;"", CALCULO!AE4&lt;0), CALCULO!AE4 * -1, 0)</f>
        <v>0</v>
      </c>
      <c r="AH4" s="207">
        <f>IF(AND(CALCULO!AF4&lt;&gt;"", CALCULO!AF4&lt;0), CALCULO!AF4 * -1, 0)</f>
        <v>0</v>
      </c>
      <c r="AI4" s="207">
        <f>IF(AND(CALCULO!AG4&lt;&gt;"", CALCULO!AG4&lt;0), CALCULO!AG4 * -1, 0)</f>
        <v>0</v>
      </c>
      <c r="AJ4" s="207">
        <f>IF(AND(CALCULO!AH4&lt;&gt;"", CALCULO!AH4&lt;0), CALCULO!AH4 * -1, 0)</f>
        <v>0</v>
      </c>
      <c r="AK4" s="207">
        <f>IF(AND(CALCULO!AI4&lt;&gt;"", CALCULO!AI4&lt;0), CALCULO!AI4 * -1, 0)</f>
        <v>1</v>
      </c>
      <c r="AL4" s="207">
        <f>IF(AND(CALCULO!AJ4&lt;&gt;"", CALCULO!AJ4&lt;0), CALCULO!AJ4 * -1, 0)</f>
        <v>0</v>
      </c>
      <c r="AM4" s="207">
        <f>IF(AND(CALCULO!AK4&lt;&gt;"", CALCULO!AK4&lt;0), CALCULO!AK4 * -1, 0)</f>
        <v>0</v>
      </c>
      <c r="AN4" s="207">
        <f>IF(AND(CALCULO!AL4&lt;&gt;"", CALCULO!AL4&lt;0), CALCULO!AL4 * -1, 0)</f>
        <v>0</v>
      </c>
      <c r="AO4" s="280">
        <f>IF(AND(CALCULO!AM4&lt;&gt;"", CALCULO!AM4&lt;0), CALCULO!AM4 * -1, 0)</f>
        <v>2</v>
      </c>
      <c r="AP4" s="231">
        <f>+SUM(AP6:AP15)</f>
        <v>4</v>
      </c>
      <c r="AQ4" s="231">
        <f t="shared" ref="AQ4:AR4" si="0">+SUM(AQ6:AQ15)</f>
        <v>0</v>
      </c>
      <c r="AR4" s="231">
        <f t="shared" si="0"/>
        <v>0</v>
      </c>
      <c r="AS4" s="281">
        <f>IF(AND(CALCULO!AN4&lt;&gt;"", CALCULO!AN4&lt;0), CALCULO!AN4 * -1, 0)</f>
        <v>0</v>
      </c>
      <c r="AT4" s="207">
        <f>IF(AND(CALCULO!AO4&lt;&gt;"", CALCULO!AO4&lt;0), CALCULO!AO4 * -1, 0)</f>
        <v>0</v>
      </c>
      <c r="AU4" s="207">
        <f>IF(AND(CALCULO!AP4&lt;&gt;"", CALCULO!AP4&lt;0), CALCULO!AP4 * -1, 0)</f>
        <v>8</v>
      </c>
      <c r="AV4" s="207">
        <f>IF(AND(CALCULO!AQ4&lt;&gt;"", CALCULO!AQ4&lt;0), CALCULO!AQ4 * -1, 0)</f>
        <v>0</v>
      </c>
      <c r="AW4" s="207">
        <f>IF(AND(CALCULO!AT4&lt;&gt;"", CALCULO!AT4&lt;0), CALCULO!AT4 * -1, 0)</f>
        <v>2</v>
      </c>
      <c r="AX4" s="207">
        <f>IF(AND(CALCULO!AU4&lt;&gt;"", CALCULO!AU4&lt;0), CALCULO!AU4 * -1, 0)</f>
        <v>6</v>
      </c>
      <c r="AY4">
        <f>+BB5+BC5</f>
        <v>6</v>
      </c>
      <c r="AZ4" s="146">
        <f>+BG5+BH5</f>
        <v>3</v>
      </c>
      <c r="BB4" s="19" t="s">
        <v>29</v>
      </c>
      <c r="BC4" s="3" t="s">
        <v>30</v>
      </c>
      <c r="BD4" s="418"/>
      <c r="BE4" s="418"/>
      <c r="BF4" s="418"/>
      <c r="BG4" s="27" t="s">
        <v>32</v>
      </c>
      <c r="BH4" s="27" t="s">
        <v>33</v>
      </c>
    </row>
    <row r="5" spans="1:60" ht="15.75" thickBot="1" x14ac:dyDescent="0.3">
      <c r="C5" s="401" t="s">
        <v>35</v>
      </c>
      <c r="D5" s="402"/>
      <c r="E5" s="228">
        <f t="shared" ref="E5:E52" si="1">+SUM(H5:AO5)</f>
        <v>0</v>
      </c>
      <c r="F5" s="165" t="str">
        <f>IF(AND(CALCULO!D5&lt;&gt;"", CALCULO!D5&lt;0), CALCULO!D5 * -1, "")</f>
        <v/>
      </c>
      <c r="G5" s="246" t="str">
        <f>IF(AND(CALCULO!E5&lt;&gt;"", CALCULO!E5&lt;0), CALCULO!E5 * -1, "")</f>
        <v/>
      </c>
      <c r="H5" s="180">
        <f>IF(AND(CALCULO!F5&lt;&gt;"", CALCULO!F5&lt;0), CALCULO!F5 * -1, 0)</f>
        <v>0</v>
      </c>
      <c r="I5" s="165">
        <f>IF(AND(CALCULO!G5&lt;&gt;"", CALCULO!G5&lt;0), CALCULO!G5 * -1, 0)</f>
        <v>0</v>
      </c>
      <c r="J5" s="165">
        <f>IF(AND(CALCULO!H5&lt;&gt;"", CALCULO!H5&lt;0), CALCULO!H5 * -1, 0)</f>
        <v>0</v>
      </c>
      <c r="K5" s="165">
        <f>IF(AND(CALCULO!I5&lt;&gt;"", CALCULO!I5&lt;0), CALCULO!I5 * -1, 0)</f>
        <v>0</v>
      </c>
      <c r="L5" s="165">
        <f>IF(AND(CALCULO!J5&lt;&gt;"", CALCULO!J5&lt;0), CALCULO!J5 * -1, 0)</f>
        <v>0</v>
      </c>
      <c r="M5" s="165">
        <f>IF(AND(CALCULO!K5&lt;&gt;"", CALCULO!K5&lt;0), CALCULO!K5 * -1, 0)</f>
        <v>0</v>
      </c>
      <c r="N5" s="165">
        <f>IF(AND(CALCULO!L5&lt;&gt;"", CALCULO!L5&lt;0), CALCULO!L5 * -1, 0)</f>
        <v>0</v>
      </c>
      <c r="O5" s="165">
        <f>IF(AND(CALCULO!M5&lt;&gt;"", CALCULO!M5&lt;0), CALCULO!M5 * -1, 0)</f>
        <v>0</v>
      </c>
      <c r="P5" s="165">
        <f>IF(AND(CALCULO!N5&lt;&gt;"", CALCULO!N5&lt;0), CALCULO!N5 * -1, 0)</f>
        <v>0</v>
      </c>
      <c r="Q5" s="165">
        <f>IF(AND(CALCULO!O5&lt;&gt;"", CALCULO!O5&lt;0), CALCULO!O5 * -1, 0)</f>
        <v>0</v>
      </c>
      <c r="R5" s="165">
        <f>IF(AND(CALCULO!P5&lt;&gt;"", CALCULO!P5&lt;0), CALCULO!P5 * -1, 0)</f>
        <v>0</v>
      </c>
      <c r="S5" s="165">
        <f>IF(AND(CALCULO!Q5&lt;&gt;"", CALCULO!Q5&lt;0), CALCULO!Q5 * -1, 0)</f>
        <v>0</v>
      </c>
      <c r="T5" s="165">
        <f>IF(AND(CALCULO!R5&lt;&gt;"", CALCULO!R5&lt;0), CALCULO!R5 * -1, 0)</f>
        <v>0</v>
      </c>
      <c r="U5" s="165">
        <f>IF(AND(CALCULO!S5&lt;&gt;"", CALCULO!S5&lt;0), CALCULO!S5 * -1, 0)</f>
        <v>0</v>
      </c>
      <c r="V5" s="165">
        <f>IF(AND(CALCULO!T5&lt;&gt;"", CALCULO!T5&lt;0), CALCULO!T5 * -1, 0)</f>
        <v>0</v>
      </c>
      <c r="W5" s="165">
        <f>IF(AND(CALCULO!U5&lt;&gt;"", CALCULO!U5&lt;0), CALCULO!U5 * -1, 0)</f>
        <v>0</v>
      </c>
      <c r="X5" s="165">
        <f>IF(AND(CALCULO!V5&lt;&gt;"", CALCULO!V5&lt;0), CALCULO!V5 * -1, 0)</f>
        <v>0</v>
      </c>
      <c r="Y5" s="165">
        <f>IF(AND(CALCULO!W5&lt;&gt;"", CALCULO!W5&lt;0), CALCULO!W5 * -1, 0)</f>
        <v>0</v>
      </c>
      <c r="Z5" s="165">
        <f>IF(AND(CALCULO!X5&lt;&gt;"", CALCULO!X5&lt;0), CALCULO!X5 * -1, 0)</f>
        <v>0</v>
      </c>
      <c r="AA5" s="165">
        <f>IF(AND(CALCULO!Y5&lt;&gt;"", CALCULO!Y5&lt;0), CALCULO!Y5 * -1, 0)</f>
        <v>0</v>
      </c>
      <c r="AB5" s="165">
        <f>IF(AND(CALCULO!Z5&lt;&gt;"", CALCULO!Z5&lt;0), CALCULO!Z5 * -1, 0)</f>
        <v>0</v>
      </c>
      <c r="AC5" s="165">
        <f>IF(AND(CALCULO!AA5&lt;&gt;"", CALCULO!AA5&lt;0), CALCULO!AA5 * -1, 0)</f>
        <v>0</v>
      </c>
      <c r="AD5" s="165">
        <f>IF(AND(CALCULO!AB5&lt;&gt;"", CALCULO!AB5&lt;0), CALCULO!AB5 * -1, 0)</f>
        <v>0</v>
      </c>
      <c r="AE5" s="165">
        <f>IF(AND(CALCULO!AC5&lt;&gt;"", CALCULO!AC5&lt;0), CALCULO!AC5 * -1, 0)</f>
        <v>0</v>
      </c>
      <c r="AF5" s="165">
        <f>IF(AND(CALCULO!AD5&lt;&gt;"", CALCULO!AD5&lt;0), CALCULO!AD5 * -1, 0)</f>
        <v>0</v>
      </c>
      <c r="AG5" s="165">
        <f>IF(AND(CALCULO!AE5&lt;&gt;"", CALCULO!AE5&lt;0), CALCULO!AE5 * -1, 0)</f>
        <v>0</v>
      </c>
      <c r="AH5" s="165">
        <f>IF(AND(CALCULO!AF5&lt;&gt;"", CALCULO!AF5&lt;0), CALCULO!AF5 * -1, 0)</f>
        <v>0</v>
      </c>
      <c r="AI5" s="165">
        <f>IF(AND(CALCULO!AG5&lt;&gt;"", CALCULO!AG5&lt;0), CALCULO!AG5 * -1, 0)</f>
        <v>0</v>
      </c>
      <c r="AJ5" s="165">
        <f>IF(AND(CALCULO!AH5&lt;&gt;"", CALCULO!AH5&lt;0), CALCULO!AH5 * -1, 0)</f>
        <v>0</v>
      </c>
      <c r="AK5" s="165">
        <f>IF(AND(CALCULO!AI5&lt;&gt;"", CALCULO!AI5&lt;0), CALCULO!AI5 * -1, 0)</f>
        <v>0</v>
      </c>
      <c r="AL5" s="165">
        <f>IF(AND(CALCULO!AJ5&lt;&gt;"", CALCULO!AJ5&lt;0), CALCULO!AJ5 * -1, 0)</f>
        <v>0</v>
      </c>
      <c r="AM5" s="165">
        <f>IF(AND(CALCULO!AK5&lt;&gt;"", CALCULO!AK5&lt;0), CALCULO!AK5 * -1, 0)</f>
        <v>0</v>
      </c>
      <c r="AN5" s="165">
        <f>IF(AND(CALCULO!AL5&lt;&gt;"", CALCULO!AL5&lt;0), CALCULO!AL5 * -1, 0)</f>
        <v>0</v>
      </c>
      <c r="AO5" s="166">
        <f>IF(AND(CALCULO!AM5&lt;&gt;"", CALCULO!AM5&lt;0), CALCULO!AM5 * -1, 0)</f>
        <v>0</v>
      </c>
      <c r="AP5" s="320"/>
      <c r="AQ5" s="321"/>
      <c r="AR5" s="322"/>
      <c r="AS5" s="180">
        <f>IF(AND(CALCULO!AN5&lt;&gt;"", CALCULO!AN5&lt;0), CALCULO!AN5 * -1, 0)</f>
        <v>0</v>
      </c>
      <c r="AT5" s="165">
        <f>IF(AND(CALCULO!AO5&lt;&gt;"", CALCULO!AO5&lt;0), CALCULO!AO5 * -1, 0)</f>
        <v>0</v>
      </c>
      <c r="AU5" s="165">
        <f>IF(AND(CALCULO!AP5&lt;&gt;"", CALCULO!AP5&lt;0), CALCULO!AP5 * -1, 0)</f>
        <v>0</v>
      </c>
      <c r="AV5" s="165">
        <f>IF(AND(CALCULO!AQ5&lt;&gt;"", CALCULO!AQ5&lt;0), CALCULO!AQ5 * -1, 0)</f>
        <v>0</v>
      </c>
      <c r="AW5" s="165">
        <f>IF(AND(CALCULO!AT5&lt;&gt;"", CALCULO!AT5&lt;0), CALCULO!AT5 * -1, 0)</f>
        <v>0</v>
      </c>
      <c r="AX5" s="165">
        <f>IF(AND(CALCULO!AU5&lt;&gt;"", CALCULO!AU5&lt;0), CALCULO!AU5 * -1, 0)</f>
        <v>0</v>
      </c>
      <c r="AY5">
        <f t="shared" ref="AY5:AY52" si="2">+BB6+BC6</f>
        <v>0</v>
      </c>
      <c r="AZ5" s="146">
        <f t="shared" ref="AZ5:AZ52" si="3">+BG6+BH6</f>
        <v>0</v>
      </c>
      <c r="BB5" s="181">
        <f>IF(AND(CALCULO!AR4&lt;&gt;"", CALCULO!AR4&lt;0), CALCULO!AR4 * -1, 0)</f>
        <v>2</v>
      </c>
      <c r="BC5" s="181">
        <f>IF(AND(CALCULO!AS4&lt;&gt;"", CALCULO!AS4&lt;0), CALCULO!AS4 * -1, 0)</f>
        <v>4</v>
      </c>
      <c r="BG5" s="146">
        <f>IF(AND(CALCULO!AW4&lt;&gt;"", CALCULO!AW4&lt;0), CALCULO!WP4 * -1, 0)</f>
        <v>0</v>
      </c>
      <c r="BH5">
        <f>IF(AND(CALCULO!AX4&lt;&gt;"", CALCULO!AX4&lt;0), CALCULO!AX4 * -1, 0)</f>
        <v>3</v>
      </c>
    </row>
    <row r="6" spans="1:60" x14ac:dyDescent="0.25">
      <c r="A6" s="374"/>
      <c r="B6" s="208"/>
      <c r="C6" s="419" t="s">
        <v>36</v>
      </c>
      <c r="D6" s="255" t="s">
        <v>37</v>
      </c>
      <c r="E6" s="227">
        <f t="shared" si="1"/>
        <v>0</v>
      </c>
      <c r="F6" s="227">
        <f t="shared" ref="F6:G11" si="4">+SUM(I6:AS6)</f>
        <v>0</v>
      </c>
      <c r="G6" s="227">
        <f t="shared" si="4"/>
        <v>0</v>
      </c>
      <c r="H6" s="260">
        <f>IF(AND(CALCULO!F6&lt;&gt;"", CALCULO!F6&lt;0), CALCULO!F6 * -1, 0)</f>
        <v>0</v>
      </c>
      <c r="I6" s="260">
        <f>IF(AND(CALCULO!G6&lt;&gt;"", CALCULO!G6&lt;0), CALCULO!G6 * -1, 0)</f>
        <v>0</v>
      </c>
      <c r="J6" s="260">
        <f>IF(AND(CALCULO!H6&lt;&gt;"", CALCULO!H6&lt;0), CALCULO!H6 * -1, 0)</f>
        <v>0</v>
      </c>
      <c r="K6" s="260">
        <f>IF(AND(CALCULO!I6&lt;&gt;"", CALCULO!I6&lt;0), CALCULO!I6 * -1, 0)</f>
        <v>0</v>
      </c>
      <c r="L6" s="260">
        <f>IF(AND(CALCULO!J6&lt;&gt;"", CALCULO!J6&lt;0), CALCULO!J6 * -1, 0)</f>
        <v>0</v>
      </c>
      <c r="M6" s="260">
        <f>IF(AND(CALCULO!K6&lt;&gt;"", CALCULO!K6&lt;0), CALCULO!K6 * -1, 0)</f>
        <v>0</v>
      </c>
      <c r="N6" s="260">
        <f>IF(AND(CALCULO!L6&lt;&gt;"", CALCULO!L6&lt;0), CALCULO!L6 * -1, 0)</f>
        <v>0</v>
      </c>
      <c r="O6" s="260">
        <f>IF(AND(CALCULO!M6&lt;&gt;"", CALCULO!M6&lt;0), CALCULO!M6 * -1, 0)</f>
        <v>0</v>
      </c>
      <c r="P6" s="260">
        <f>IF(AND(CALCULO!N6&lt;&gt;"", CALCULO!N6&lt;0), CALCULO!N6 * -1, 0)</f>
        <v>0</v>
      </c>
      <c r="Q6" s="260">
        <f>IF(AND(CALCULO!O6&lt;&gt;"", CALCULO!O6&lt;0), CALCULO!O6 * -1, 0)</f>
        <v>0</v>
      </c>
      <c r="R6" s="260">
        <f>IF(AND(CALCULO!P6&lt;&gt;"", CALCULO!P6&lt;0), CALCULO!P6 * -1, 0)</f>
        <v>0</v>
      </c>
      <c r="S6" s="260">
        <f>IF(AND(CALCULO!Q6&lt;&gt;"", CALCULO!Q6&lt;0), CALCULO!Q6 * -1, 0)</f>
        <v>0</v>
      </c>
      <c r="T6" s="260">
        <f>IF(AND(CALCULO!R6&lt;&gt;"", CALCULO!R6&lt;0), CALCULO!R6 * -1, 0)</f>
        <v>0</v>
      </c>
      <c r="U6" s="260">
        <f>IF(AND(CALCULO!S6&lt;&gt;"", CALCULO!S6&lt;0), CALCULO!S6 * -1, 0)</f>
        <v>0</v>
      </c>
      <c r="V6" s="260">
        <f>IF(AND(CALCULO!T6&lt;&gt;"", CALCULO!T6&lt;0), CALCULO!T6 * -1, 0)</f>
        <v>0</v>
      </c>
      <c r="W6" s="260">
        <f>IF(AND(CALCULO!U6&lt;&gt;"", CALCULO!U6&lt;0), CALCULO!U6 * -1, 0)</f>
        <v>0</v>
      </c>
      <c r="X6" s="260">
        <f>IF(AND(CALCULO!V6&lt;&gt;"", CALCULO!V6&lt;0), CALCULO!V6 * -1, 0)</f>
        <v>0</v>
      </c>
      <c r="Y6" s="260">
        <f>IF(AND(CALCULO!W6&lt;&gt;"", CALCULO!W6&lt;0), CALCULO!W6 * -1, 0)</f>
        <v>0</v>
      </c>
      <c r="Z6" s="260">
        <f>IF(AND(CALCULO!X6&lt;&gt;"", CALCULO!X6&lt;0), CALCULO!X6 * -1, 0)</f>
        <v>0</v>
      </c>
      <c r="AA6" s="260">
        <f>IF(AND(CALCULO!Y6&lt;&gt;"", CALCULO!Y6&lt;0), CALCULO!Y6 * -1, 0)</f>
        <v>0</v>
      </c>
      <c r="AB6" s="260">
        <f>IF(AND(CALCULO!Z6&lt;&gt;"", CALCULO!Z6&lt;0), CALCULO!Z6 * -1, 0)</f>
        <v>0</v>
      </c>
      <c r="AC6" s="260">
        <f>IF(AND(CALCULO!AA6&lt;&gt;"", CALCULO!AA6&lt;0), CALCULO!AA6 * -1, 0)</f>
        <v>0</v>
      </c>
      <c r="AD6" s="260">
        <f>IF(AND(CALCULO!AB6&lt;&gt;"", CALCULO!AB6&lt;0), CALCULO!AB6 * -1, 0)</f>
        <v>0</v>
      </c>
      <c r="AE6" s="260">
        <f>IF(AND(CALCULO!AC6&lt;&gt;"", CALCULO!AC6&lt;0), CALCULO!AC6 * -1, 0)</f>
        <v>0</v>
      </c>
      <c r="AF6" s="260">
        <f>IF(AND(CALCULO!AD6&lt;&gt;"", CALCULO!AD6&lt;0), CALCULO!AD6 * -1, 0)</f>
        <v>0</v>
      </c>
      <c r="AG6" s="260">
        <f>IF(AND(CALCULO!AE6&lt;&gt;"", CALCULO!AE6&lt;0), CALCULO!AE6 * -1, 0)</f>
        <v>0</v>
      </c>
      <c r="AH6" s="260">
        <f>IF(AND(CALCULO!AF6&lt;&gt;"", CALCULO!AF6&lt;0), CALCULO!AF6 * -1, 0)</f>
        <v>0</v>
      </c>
      <c r="AI6" s="260">
        <f>IF(AND(CALCULO!AG6&lt;&gt;"", CALCULO!AG6&lt;0), CALCULO!AG6 * -1, 0)</f>
        <v>0</v>
      </c>
      <c r="AJ6" s="260">
        <f>IF(AND(CALCULO!AH6&lt;&gt;"", CALCULO!AH6&lt;0), CALCULO!AH6 * -1, 0)</f>
        <v>0</v>
      </c>
      <c r="AK6" s="260">
        <f>IF(AND(CALCULO!AI6&lt;&gt;"", CALCULO!AI6&lt;0), CALCULO!AI6 * -1, 0)</f>
        <v>0</v>
      </c>
      <c r="AL6" s="260">
        <f>IF(AND(CALCULO!AJ6&lt;&gt;"", CALCULO!AJ6&lt;0), CALCULO!AJ6 * -1, 0)</f>
        <v>0</v>
      </c>
      <c r="AM6" s="260">
        <f>IF(AND(CALCULO!AK6&lt;&gt;"", CALCULO!AK6&lt;0), CALCULO!AK6 * -1, 0)</f>
        <v>0</v>
      </c>
      <c r="AN6" s="260">
        <f>IF(AND(CALCULO!AL6&lt;&gt;"", CALCULO!AL6&lt;0), CALCULO!AL6 * -1, 0)</f>
        <v>0</v>
      </c>
      <c r="AO6" s="260">
        <f>IF(AND(CALCULO!AM6&lt;&gt;"", CALCULO!AM6&lt;0), CALCULO!AM6 * -1, 0)</f>
        <v>0</v>
      </c>
      <c r="AP6" s="321">
        <f>+E6-(ALTAS!C6+AQ6+AR6)</f>
        <v>0</v>
      </c>
      <c r="AQ6" s="321">
        <f>+ALTAS!D6</f>
        <v>0</v>
      </c>
      <c r="AR6" s="321">
        <f>+ALTAS!E6</f>
        <v>0</v>
      </c>
      <c r="AS6" s="260">
        <f>IF(AND(CALCULO!AN6&lt;&gt;"", CALCULO!AN6&lt;0), CALCULO!AN6 * -1, 0)</f>
        <v>0</v>
      </c>
      <c r="AT6" s="260">
        <f>IF(AND(CALCULO!AO6&lt;&gt;"", CALCULO!AO6&lt;0), CALCULO!AO6 * -1, 0)</f>
        <v>0</v>
      </c>
      <c r="AU6" s="260">
        <f>IF(AND(CALCULO!AP6&lt;&gt;"", CALCULO!AP6&lt;0), CALCULO!AP6 * -1, 0)</f>
        <v>0</v>
      </c>
      <c r="AV6" s="260">
        <f>IF(AND(CALCULO!AQ6&lt;&gt;"", CALCULO!AQ6&lt;0), CALCULO!AQ6 * -1, 0)</f>
        <v>0</v>
      </c>
      <c r="AW6" s="207">
        <f>IF(AND(CALCULO!AT6&lt;&gt;"", CALCULO!AT6&lt;0), CALCULO!AT6 * -1, 0)</f>
        <v>0</v>
      </c>
      <c r="AX6" s="207">
        <f>IF(AND(CALCULO!AU6&lt;&gt;"", CALCULO!AU6&lt;0), CALCULO!AU6 * -1, 0)</f>
        <v>0</v>
      </c>
      <c r="AY6">
        <f t="shared" si="2"/>
        <v>0</v>
      </c>
      <c r="AZ6" s="146">
        <f t="shared" si="3"/>
        <v>0</v>
      </c>
      <c r="BB6" s="181">
        <f>IF(AND(CALCULO!AR5&lt;&gt;"", CALCULO!AR5&lt;0), CALCULO!AR5 * -1, 0)</f>
        <v>0</v>
      </c>
      <c r="BC6" s="181">
        <f>IF(AND(CALCULO!AS5&lt;&gt;"", CALCULO!AS5&lt;0), CALCULO!AS5 * -1, 0)</f>
        <v>0</v>
      </c>
      <c r="BG6" s="146">
        <f>IF(AND(CALCULO!AW5&lt;&gt;"", CALCULO!AW5&lt;0), CALCULO!WP5 * -1, 0)</f>
        <v>0</v>
      </c>
      <c r="BH6">
        <f>IF(AND(CALCULO!AX5&lt;&gt;"", CALCULO!AX5&lt;0), CALCULO!AX5 * -1, 0)</f>
        <v>0</v>
      </c>
    </row>
    <row r="7" spans="1:60" ht="15.75" thickBot="1" x14ac:dyDescent="0.3">
      <c r="A7" s="403"/>
      <c r="B7" s="172"/>
      <c r="C7" s="420"/>
      <c r="D7" s="243" t="s">
        <v>38</v>
      </c>
      <c r="E7" s="228">
        <f t="shared" si="1"/>
        <v>0</v>
      </c>
      <c r="F7" s="228">
        <f t="shared" si="4"/>
        <v>0</v>
      </c>
      <c r="G7" s="228">
        <f t="shared" si="4"/>
        <v>0</v>
      </c>
      <c r="H7" s="259">
        <f>IF(AND(CALCULO!F7&lt;&gt;"", CALCULO!F7&lt;0), CALCULO!F7 * -1, 0)</f>
        <v>0</v>
      </c>
      <c r="I7" s="259">
        <f>IF(AND(CALCULO!G7&lt;&gt;"", CALCULO!G7&lt;0), CALCULO!G7 * -1, 0)</f>
        <v>0</v>
      </c>
      <c r="J7" s="259">
        <f>IF(AND(CALCULO!H7&lt;&gt;"", CALCULO!H7&lt;0), CALCULO!H7 * -1, 0)</f>
        <v>0</v>
      </c>
      <c r="K7" s="259">
        <f>IF(AND(CALCULO!I7&lt;&gt;"", CALCULO!I7&lt;0), CALCULO!I7 * -1, 0)</f>
        <v>0</v>
      </c>
      <c r="L7" s="259">
        <f>IF(AND(CALCULO!J7&lt;&gt;"", CALCULO!J7&lt;0), CALCULO!J7 * -1, 0)</f>
        <v>0</v>
      </c>
      <c r="M7" s="259">
        <f>IF(AND(CALCULO!K7&lt;&gt;"", CALCULO!K7&lt;0), CALCULO!K7 * -1, 0)</f>
        <v>0</v>
      </c>
      <c r="N7" s="259">
        <f>IF(AND(CALCULO!L7&lt;&gt;"", CALCULO!L7&lt;0), CALCULO!L7 * -1, 0)</f>
        <v>0</v>
      </c>
      <c r="O7" s="259">
        <f>IF(AND(CALCULO!M7&lt;&gt;"", CALCULO!M7&lt;0), CALCULO!M7 * -1, 0)</f>
        <v>0</v>
      </c>
      <c r="P7" s="259">
        <f>IF(AND(CALCULO!N7&lt;&gt;"", CALCULO!N7&lt;0), CALCULO!N7 * -1, 0)</f>
        <v>0</v>
      </c>
      <c r="Q7" s="259">
        <f>IF(AND(CALCULO!O7&lt;&gt;"", CALCULO!O7&lt;0), CALCULO!O7 * -1, 0)</f>
        <v>0</v>
      </c>
      <c r="R7" s="259">
        <f>IF(AND(CALCULO!P7&lt;&gt;"", CALCULO!P7&lt;0), CALCULO!P7 * -1, 0)</f>
        <v>0</v>
      </c>
      <c r="S7" s="259">
        <f>IF(AND(CALCULO!Q7&lt;&gt;"", CALCULO!Q7&lt;0), CALCULO!Q7 * -1, 0)</f>
        <v>0</v>
      </c>
      <c r="T7" s="259">
        <f>IF(AND(CALCULO!R7&lt;&gt;"", CALCULO!R7&lt;0), CALCULO!R7 * -1, 0)</f>
        <v>0</v>
      </c>
      <c r="U7" s="259">
        <f>IF(AND(CALCULO!S7&lt;&gt;"", CALCULO!S7&lt;0), CALCULO!S7 * -1, 0)</f>
        <v>0</v>
      </c>
      <c r="V7" s="259">
        <f>IF(AND(CALCULO!T7&lt;&gt;"", CALCULO!T7&lt;0), CALCULO!T7 * -1, 0)</f>
        <v>0</v>
      </c>
      <c r="W7" s="259">
        <f>IF(AND(CALCULO!U7&lt;&gt;"", CALCULO!U7&lt;0), CALCULO!U7 * -1, 0)</f>
        <v>0</v>
      </c>
      <c r="X7" s="259">
        <f>IF(AND(CALCULO!V7&lt;&gt;"", CALCULO!V7&lt;0), CALCULO!V7 * -1, 0)</f>
        <v>0</v>
      </c>
      <c r="Y7" s="259">
        <f>IF(AND(CALCULO!W7&lt;&gt;"", CALCULO!W7&lt;0), CALCULO!W7 * -1, 0)</f>
        <v>0</v>
      </c>
      <c r="Z7" s="259">
        <f>IF(AND(CALCULO!X7&lt;&gt;"", CALCULO!X7&lt;0), CALCULO!X7 * -1, 0)</f>
        <v>0</v>
      </c>
      <c r="AA7" s="259">
        <f>IF(AND(CALCULO!Y7&lt;&gt;"", CALCULO!Y7&lt;0), CALCULO!Y7 * -1, 0)</f>
        <v>0</v>
      </c>
      <c r="AB7" s="259">
        <f>IF(AND(CALCULO!Z7&lt;&gt;"", CALCULO!Z7&lt;0), CALCULO!Z7 * -1, 0)</f>
        <v>0</v>
      </c>
      <c r="AC7" s="259">
        <f>IF(AND(CALCULO!AA7&lt;&gt;"", CALCULO!AA7&lt;0), CALCULO!AA7 * -1, 0)</f>
        <v>0</v>
      </c>
      <c r="AD7" s="259">
        <f>IF(AND(CALCULO!AB7&lt;&gt;"", CALCULO!AB7&lt;0), CALCULO!AB7 * -1, 0)</f>
        <v>0</v>
      </c>
      <c r="AE7" s="259">
        <f>IF(AND(CALCULO!AC7&lt;&gt;"", CALCULO!AC7&lt;0), CALCULO!AC7 * -1, 0)</f>
        <v>0</v>
      </c>
      <c r="AF7" s="259">
        <f>IF(AND(CALCULO!AD7&lt;&gt;"", CALCULO!AD7&lt;0), CALCULO!AD7 * -1, 0)</f>
        <v>0</v>
      </c>
      <c r="AG7" s="259">
        <f>IF(AND(CALCULO!AE7&lt;&gt;"", CALCULO!AE7&lt;0), CALCULO!AE7 * -1, 0)</f>
        <v>0</v>
      </c>
      <c r="AH7" s="259">
        <f>IF(AND(CALCULO!AF7&lt;&gt;"", CALCULO!AF7&lt;0), CALCULO!AF7 * -1, 0)</f>
        <v>0</v>
      </c>
      <c r="AI7" s="259">
        <f>IF(AND(CALCULO!AG7&lt;&gt;"", CALCULO!AG7&lt;0), CALCULO!AG7 * -1, 0)</f>
        <v>0</v>
      </c>
      <c r="AJ7" s="259">
        <f>IF(AND(CALCULO!AH7&lt;&gt;"", CALCULO!AH7&lt;0), CALCULO!AH7 * -1, 0)</f>
        <v>0</v>
      </c>
      <c r="AK7" s="259">
        <f>IF(AND(CALCULO!AI7&lt;&gt;"", CALCULO!AI7&lt;0), CALCULO!AI7 * -1, 0)</f>
        <v>0</v>
      </c>
      <c r="AL7" s="259">
        <f>IF(AND(CALCULO!AJ7&lt;&gt;"", CALCULO!AJ7&lt;0), CALCULO!AJ7 * -1, 0)</f>
        <v>0</v>
      </c>
      <c r="AM7" s="259">
        <f>IF(AND(CALCULO!AK7&lt;&gt;"", CALCULO!AK7&lt;0), CALCULO!AK7 * -1, 0)</f>
        <v>0</v>
      </c>
      <c r="AN7" s="259">
        <f>IF(AND(CALCULO!AL7&lt;&gt;"", CALCULO!AL7&lt;0), CALCULO!AL7 * -1, 0)</f>
        <v>0</v>
      </c>
      <c r="AO7" s="259">
        <f>IF(AND(CALCULO!AM7&lt;&gt;"", CALCULO!AM7&lt;0), CALCULO!AM7 * -1, 0)</f>
        <v>0</v>
      </c>
      <c r="AP7" s="321">
        <f>+E7-(ALTAS!C7+AQ7+AR7)</f>
        <v>0</v>
      </c>
      <c r="AQ7" s="321">
        <f>+ALTAS!D7</f>
        <v>0</v>
      </c>
      <c r="AR7" s="321">
        <f>+ALTAS!E7</f>
        <v>0</v>
      </c>
      <c r="AS7" s="259">
        <f>IF(AND(CALCULO!AN7&lt;&gt;"", CALCULO!AN7&lt;0), CALCULO!AN7 * -1, 0)</f>
        <v>0</v>
      </c>
      <c r="AT7" s="259">
        <f>IF(AND(CALCULO!AO7&lt;&gt;"", CALCULO!AO7&lt;0), CALCULO!AO7 * -1, 0)</f>
        <v>0</v>
      </c>
      <c r="AU7" s="259">
        <f>IF(AND(CALCULO!AP7&lt;&gt;"", CALCULO!AP7&lt;0), CALCULO!AP7 * -1, 0)</f>
        <v>0</v>
      </c>
      <c r="AV7" s="259">
        <f>IF(AND(CALCULO!AQ7&lt;&gt;"", CALCULO!AQ7&lt;0), CALCULO!AQ7 * -1, 0)</f>
        <v>0</v>
      </c>
      <c r="AW7" s="165">
        <f>IF(AND(CALCULO!AT7&lt;&gt;"", CALCULO!AT7&lt;0), CALCULO!AT7 * -1, 0)</f>
        <v>0</v>
      </c>
      <c r="AX7" s="165">
        <f>IF(AND(CALCULO!AU7&lt;&gt;"", CALCULO!AU7&lt;0), CALCULO!AU7 * -1, 0)</f>
        <v>0</v>
      </c>
      <c r="AY7">
        <f t="shared" si="2"/>
        <v>0</v>
      </c>
      <c r="AZ7" s="146">
        <f t="shared" si="3"/>
        <v>0</v>
      </c>
      <c r="BB7" s="181">
        <f>IF(AND(CALCULO!AR6&lt;&gt;"", CALCULO!AR6&lt;0), CALCULO!AR6 * -1, 0)</f>
        <v>0</v>
      </c>
      <c r="BC7" s="181">
        <f>IF(AND(CALCULO!AS6&lt;&gt;"", CALCULO!AS6&lt;0), CALCULO!AS6 * -1, 0)</f>
        <v>0</v>
      </c>
      <c r="BG7" s="146">
        <f>IF(AND(CALCULO!AW6&lt;&gt;"", CALCULO!AW6&lt;0), CALCULO!WP6 * -1, 0)</f>
        <v>0</v>
      </c>
      <c r="BH7">
        <f>IF(AND(CALCULO!AX6&lt;&gt;"", CALCULO!AX6&lt;0), CALCULO!AX6 * -1, 0)</f>
        <v>0</v>
      </c>
    </row>
    <row r="8" spans="1:60" x14ac:dyDescent="0.25">
      <c r="A8" s="317"/>
      <c r="B8" s="318"/>
      <c r="C8" s="302"/>
      <c r="D8" s="243"/>
      <c r="E8" s="227">
        <f t="shared" ref="E8:E11" si="5">+SUM(H8:AO8)</f>
        <v>0</v>
      </c>
      <c r="F8" s="227">
        <f t="shared" si="4"/>
        <v>0</v>
      </c>
      <c r="G8" s="227">
        <f t="shared" si="4"/>
        <v>0</v>
      </c>
      <c r="H8" s="281">
        <f>IF(AND(CALCULO!F8&lt;&gt;"", CALCULO!F8&lt;0), CALCULO!F8 * -1, 0)</f>
        <v>0</v>
      </c>
      <c r="I8" s="281">
        <f>IF(AND(CALCULO!G8&lt;&gt;"", CALCULO!G8&lt;0), CALCULO!G8 * -1, 0)</f>
        <v>0</v>
      </c>
      <c r="J8" s="281">
        <f>IF(AND(CALCULO!H8&lt;&gt;"", CALCULO!H8&lt;0), CALCULO!H8 * -1, 0)</f>
        <v>0</v>
      </c>
      <c r="K8" s="281">
        <f>IF(AND(CALCULO!I8&lt;&gt;"", CALCULO!I8&lt;0), CALCULO!I8 * -1, 0)</f>
        <v>0</v>
      </c>
      <c r="L8" s="281">
        <f>IF(AND(CALCULO!J8&lt;&gt;"", CALCULO!J8&lt;0), CALCULO!J8 * -1, 0)</f>
        <v>0</v>
      </c>
      <c r="M8" s="281">
        <f>IF(AND(CALCULO!K8&lt;&gt;"", CALCULO!K8&lt;0), CALCULO!K8 * -1, 0)</f>
        <v>0</v>
      </c>
      <c r="N8" s="281">
        <f>IF(AND(CALCULO!L8&lt;&gt;"", CALCULO!L8&lt;0), CALCULO!L8 * -1, 0)</f>
        <v>0</v>
      </c>
      <c r="O8" s="281">
        <f>IF(AND(CALCULO!M8&lt;&gt;"", CALCULO!M8&lt;0), CALCULO!M8 * -1, 0)</f>
        <v>0</v>
      </c>
      <c r="P8" s="281">
        <f>IF(AND(CALCULO!N8&lt;&gt;"", CALCULO!N8&lt;0), CALCULO!N8 * -1, 0)</f>
        <v>0</v>
      </c>
      <c r="Q8" s="281">
        <f>IF(AND(CALCULO!O8&lt;&gt;"", CALCULO!O8&lt;0), CALCULO!O8 * -1, 0)</f>
        <v>0</v>
      </c>
      <c r="R8" s="281">
        <f>IF(AND(CALCULO!P8&lt;&gt;"", CALCULO!P8&lt;0), CALCULO!P8 * -1, 0)</f>
        <v>0</v>
      </c>
      <c r="S8" s="281">
        <f>IF(AND(CALCULO!Q8&lt;&gt;"", CALCULO!Q8&lt;0), CALCULO!Q8 * -1, 0)</f>
        <v>0</v>
      </c>
      <c r="T8" s="281">
        <f>IF(AND(CALCULO!R8&lt;&gt;"", CALCULO!R8&lt;0), CALCULO!R8 * -1, 0)</f>
        <v>0</v>
      </c>
      <c r="U8" s="281">
        <f>IF(AND(CALCULO!S8&lt;&gt;"", CALCULO!S8&lt;0), CALCULO!S8 * -1, 0)</f>
        <v>0</v>
      </c>
      <c r="V8" s="281">
        <f>IF(AND(CALCULO!T8&lt;&gt;"", CALCULO!T8&lt;0), CALCULO!T8 * -1, 0)</f>
        <v>0</v>
      </c>
      <c r="W8" s="281">
        <f>IF(AND(CALCULO!U8&lt;&gt;"", CALCULO!U8&lt;0), CALCULO!U8 * -1, 0)</f>
        <v>0</v>
      </c>
      <c r="X8" s="281">
        <f>IF(AND(CALCULO!V8&lt;&gt;"", CALCULO!V8&lt;0), CALCULO!V8 * -1, 0)</f>
        <v>0</v>
      </c>
      <c r="Y8" s="281">
        <f>IF(AND(CALCULO!W8&lt;&gt;"", CALCULO!W8&lt;0), CALCULO!W8 * -1, 0)</f>
        <v>0</v>
      </c>
      <c r="Z8" s="281">
        <f>IF(AND(CALCULO!X8&lt;&gt;"", CALCULO!X8&lt;0), CALCULO!X8 * -1, 0)</f>
        <v>0</v>
      </c>
      <c r="AA8" s="281">
        <f>IF(AND(CALCULO!Y8&lt;&gt;"", CALCULO!Y8&lt;0), CALCULO!Y8 * -1, 0)</f>
        <v>0</v>
      </c>
      <c r="AB8" s="281">
        <f>IF(AND(CALCULO!Z8&lt;&gt;"", CALCULO!Z8&lt;0), CALCULO!Z8 * -1, 0)</f>
        <v>0</v>
      </c>
      <c r="AC8" s="281">
        <f>IF(AND(CALCULO!AA8&lt;&gt;"", CALCULO!AA8&lt;0), CALCULO!AA8 * -1, 0)</f>
        <v>0</v>
      </c>
      <c r="AD8" s="281">
        <f>IF(AND(CALCULO!AB8&lt;&gt;"", CALCULO!AB8&lt;0), CALCULO!AB8 * -1, 0)</f>
        <v>0</v>
      </c>
      <c r="AE8" s="281">
        <f>IF(AND(CALCULO!AC8&lt;&gt;"", CALCULO!AC8&lt;0), CALCULO!AC8 * -1, 0)</f>
        <v>0</v>
      </c>
      <c r="AF8" s="281">
        <f>IF(AND(CALCULO!AD8&lt;&gt;"", CALCULO!AD8&lt;0), CALCULO!AD8 * -1, 0)</f>
        <v>0</v>
      </c>
      <c r="AG8" s="281">
        <f>IF(AND(CALCULO!AE8&lt;&gt;"", CALCULO!AE8&lt;0), CALCULO!AE8 * -1, 0)</f>
        <v>0</v>
      </c>
      <c r="AH8" s="281">
        <f>IF(AND(CALCULO!AF8&lt;&gt;"", CALCULO!AF8&lt;0), CALCULO!AF8 * -1, 0)</f>
        <v>0</v>
      </c>
      <c r="AI8" s="281">
        <f>IF(AND(CALCULO!AG8&lt;&gt;"", CALCULO!AG8&lt;0), CALCULO!AG8 * -1, 0)</f>
        <v>0</v>
      </c>
      <c r="AJ8" s="281">
        <f>IF(AND(CALCULO!AH8&lt;&gt;"", CALCULO!AH8&lt;0), CALCULO!AH8 * -1, 0)</f>
        <v>0</v>
      </c>
      <c r="AK8" s="281">
        <f>IF(AND(CALCULO!AI8&lt;&gt;"", CALCULO!AI8&lt;0), CALCULO!AI8 * -1, 0)</f>
        <v>0</v>
      </c>
      <c r="AL8" s="281">
        <f>IF(AND(CALCULO!AJ8&lt;&gt;"", CALCULO!AJ8&lt;0), CALCULO!AJ8 * -1, 0)</f>
        <v>0</v>
      </c>
      <c r="AM8" s="281">
        <f>IF(AND(CALCULO!AK8&lt;&gt;"", CALCULO!AK8&lt;0), CALCULO!AK8 * -1, 0)</f>
        <v>0</v>
      </c>
      <c r="AN8" s="281">
        <f>IF(AND(CALCULO!AL8&lt;&gt;"", CALCULO!AL8&lt;0), CALCULO!AL8 * -1, 0)</f>
        <v>0</v>
      </c>
      <c r="AO8" s="281">
        <f>IF(AND(CALCULO!AM8&lt;&gt;"", CALCULO!AM8&lt;0), CALCULO!AM8 * -1, 0)</f>
        <v>0</v>
      </c>
      <c r="AP8" s="321">
        <f>+E8-(ALTAS!C8+AQ8+AR8)</f>
        <v>0</v>
      </c>
      <c r="AQ8" s="321">
        <f>+ALTAS!D8</f>
        <v>0</v>
      </c>
      <c r="AR8" s="321">
        <f>+ALTAS!E8</f>
        <v>0</v>
      </c>
      <c r="AS8" s="281">
        <f>IF(AND(CALCULO!AN8&lt;&gt;"", CALCULO!AN8&lt;0), CALCULO!AN8 * -1, 0)</f>
        <v>0</v>
      </c>
      <c r="AT8" s="281">
        <f>IF(AND(CALCULO!AO8&lt;&gt;"", CALCULO!AO8&lt;0), CALCULO!AO8 * -1, 0)</f>
        <v>0</v>
      </c>
      <c r="AU8" s="281">
        <f>IF(AND(CALCULO!AP8&lt;&gt;"", CALCULO!AP8&lt;0), CALCULO!AP8 * -1, 0)</f>
        <v>0</v>
      </c>
      <c r="AV8" s="281">
        <f>IF(AND(CALCULO!AQ8&lt;&gt;"", CALCULO!AQ8&lt;0), CALCULO!AQ8 * -1, 0)</f>
        <v>0</v>
      </c>
      <c r="AW8" s="207">
        <f>IF(AND(CALCULO!AT8&lt;&gt;"", CALCULO!AT8&lt;0), CALCULO!AT8 * -1, 0)</f>
        <v>0</v>
      </c>
      <c r="AX8" s="207">
        <f>IF(AND(CALCULO!AU8&lt;&gt;"", CALCULO!AU8&lt;0), CALCULO!AU8 * -1, 0)</f>
        <v>0</v>
      </c>
      <c r="AY8">
        <f t="shared" si="2"/>
        <v>0</v>
      </c>
      <c r="AZ8" s="146">
        <f t="shared" si="3"/>
        <v>0</v>
      </c>
      <c r="BB8" s="181"/>
      <c r="BC8" s="181"/>
      <c r="BG8" s="146">
        <f>IF(AND(CALCULO!AW7&lt;&gt;"", CALCULO!AW7&lt;0), CALCULO!WP7 * -1, 0)</f>
        <v>0</v>
      </c>
      <c r="BH8">
        <f>IF(AND(CALCULO!AX7&lt;&gt;"", CALCULO!AX7&lt;0), CALCULO!AX7 * -1, 0)</f>
        <v>0</v>
      </c>
    </row>
    <row r="9" spans="1:60" ht="15.75" thickBot="1" x14ac:dyDescent="0.3">
      <c r="A9" s="317"/>
      <c r="B9" s="318"/>
      <c r="C9" s="302"/>
      <c r="D9" s="243"/>
      <c r="E9" s="228">
        <f t="shared" si="5"/>
        <v>0</v>
      </c>
      <c r="F9" s="228">
        <f t="shared" si="4"/>
        <v>0</v>
      </c>
      <c r="G9" s="228">
        <f t="shared" si="4"/>
        <v>0</v>
      </c>
      <c r="H9" s="180">
        <f>IF(AND(CALCULO!F9&lt;&gt;"", CALCULO!F9&lt;0), CALCULO!F9 * -1, 0)</f>
        <v>0</v>
      </c>
      <c r="I9" s="180">
        <f>IF(AND(CALCULO!G9&lt;&gt;"", CALCULO!G9&lt;0), CALCULO!G9 * -1, 0)</f>
        <v>0</v>
      </c>
      <c r="J9" s="180">
        <f>IF(AND(CALCULO!H9&lt;&gt;"", CALCULO!H9&lt;0), CALCULO!H9 * -1, 0)</f>
        <v>0</v>
      </c>
      <c r="K9" s="180">
        <f>IF(AND(CALCULO!I9&lt;&gt;"", CALCULO!I9&lt;0), CALCULO!I9 * -1, 0)</f>
        <v>0</v>
      </c>
      <c r="L9" s="180">
        <f>IF(AND(CALCULO!J9&lt;&gt;"", CALCULO!J9&lt;0), CALCULO!J9 * -1, 0)</f>
        <v>0</v>
      </c>
      <c r="M9" s="180">
        <f>IF(AND(CALCULO!K9&lt;&gt;"", CALCULO!K9&lt;0), CALCULO!K9 * -1, 0)</f>
        <v>0</v>
      </c>
      <c r="N9" s="180">
        <f>IF(AND(CALCULO!L9&lt;&gt;"", CALCULO!L9&lt;0), CALCULO!L9 * -1, 0)</f>
        <v>0</v>
      </c>
      <c r="O9" s="180">
        <f>IF(AND(CALCULO!M9&lt;&gt;"", CALCULO!M9&lt;0), CALCULO!M9 * -1, 0)</f>
        <v>0</v>
      </c>
      <c r="P9" s="180">
        <f>IF(AND(CALCULO!N9&lt;&gt;"", CALCULO!N9&lt;0), CALCULO!N9 * -1, 0)</f>
        <v>0</v>
      </c>
      <c r="Q9" s="180">
        <f>IF(AND(CALCULO!O9&lt;&gt;"", CALCULO!O9&lt;0), CALCULO!O9 * -1, 0)</f>
        <v>0</v>
      </c>
      <c r="R9" s="180">
        <f>IF(AND(CALCULO!P9&lt;&gt;"", CALCULO!P9&lt;0), CALCULO!P9 * -1, 0)</f>
        <v>0</v>
      </c>
      <c r="S9" s="180">
        <f>IF(AND(CALCULO!Q9&lt;&gt;"", CALCULO!Q9&lt;0), CALCULO!Q9 * -1, 0)</f>
        <v>0</v>
      </c>
      <c r="T9" s="180">
        <f>IF(AND(CALCULO!R9&lt;&gt;"", CALCULO!R9&lt;0), CALCULO!R9 * -1, 0)</f>
        <v>0</v>
      </c>
      <c r="U9" s="180">
        <f>IF(AND(CALCULO!S9&lt;&gt;"", CALCULO!S9&lt;0), CALCULO!S9 * -1, 0)</f>
        <v>0</v>
      </c>
      <c r="V9" s="180">
        <f>IF(AND(CALCULO!T9&lt;&gt;"", CALCULO!T9&lt;0), CALCULO!T9 * -1, 0)</f>
        <v>0</v>
      </c>
      <c r="W9" s="180">
        <f>IF(AND(CALCULO!U9&lt;&gt;"", CALCULO!U9&lt;0), CALCULO!U9 * -1, 0)</f>
        <v>0</v>
      </c>
      <c r="X9" s="180">
        <f>IF(AND(CALCULO!V9&lt;&gt;"", CALCULO!V9&lt;0), CALCULO!V9 * -1, 0)</f>
        <v>0</v>
      </c>
      <c r="Y9" s="180">
        <f>IF(AND(CALCULO!W9&lt;&gt;"", CALCULO!W9&lt;0), CALCULO!W9 * -1, 0)</f>
        <v>0</v>
      </c>
      <c r="Z9" s="180">
        <f>IF(AND(CALCULO!X9&lt;&gt;"", CALCULO!X9&lt;0), CALCULO!X9 * -1, 0)</f>
        <v>0</v>
      </c>
      <c r="AA9" s="180">
        <f>IF(AND(CALCULO!Y9&lt;&gt;"", CALCULO!Y9&lt;0), CALCULO!Y9 * -1, 0)</f>
        <v>0</v>
      </c>
      <c r="AB9" s="180">
        <f>IF(AND(CALCULO!Z9&lt;&gt;"", CALCULO!Z9&lt;0), CALCULO!Z9 * -1, 0)</f>
        <v>0</v>
      </c>
      <c r="AC9" s="180">
        <f>IF(AND(CALCULO!AA9&lt;&gt;"", CALCULO!AA9&lt;0), CALCULO!AA9 * -1, 0)</f>
        <v>0</v>
      </c>
      <c r="AD9" s="180">
        <f>IF(AND(CALCULO!AB9&lt;&gt;"", CALCULO!AB9&lt;0), CALCULO!AB9 * -1, 0)</f>
        <v>0</v>
      </c>
      <c r="AE9" s="180">
        <f>IF(AND(CALCULO!AC9&lt;&gt;"", CALCULO!AC9&lt;0), CALCULO!AC9 * -1, 0)</f>
        <v>0</v>
      </c>
      <c r="AF9" s="180">
        <f>IF(AND(CALCULO!AD9&lt;&gt;"", CALCULO!AD9&lt;0), CALCULO!AD9 * -1, 0)</f>
        <v>0</v>
      </c>
      <c r="AG9" s="180">
        <f>IF(AND(CALCULO!AE9&lt;&gt;"", CALCULO!AE9&lt;0), CALCULO!AE9 * -1, 0)</f>
        <v>0</v>
      </c>
      <c r="AH9" s="180">
        <f>IF(AND(CALCULO!AF9&lt;&gt;"", CALCULO!AF9&lt;0), CALCULO!AF9 * -1, 0)</f>
        <v>0</v>
      </c>
      <c r="AI9" s="180">
        <f>IF(AND(CALCULO!AG9&lt;&gt;"", CALCULO!AG9&lt;0), CALCULO!AG9 * -1, 0)</f>
        <v>0</v>
      </c>
      <c r="AJ9" s="180">
        <f>IF(AND(CALCULO!AH9&lt;&gt;"", CALCULO!AH9&lt;0), CALCULO!AH9 * -1, 0)</f>
        <v>0</v>
      </c>
      <c r="AK9" s="180">
        <f>IF(AND(CALCULO!AI9&lt;&gt;"", CALCULO!AI9&lt;0), CALCULO!AI9 * -1, 0)</f>
        <v>0</v>
      </c>
      <c r="AL9" s="180">
        <f>IF(AND(CALCULO!AJ9&lt;&gt;"", CALCULO!AJ9&lt;0), CALCULO!AJ9 * -1, 0)</f>
        <v>0</v>
      </c>
      <c r="AM9" s="180">
        <f>IF(AND(CALCULO!AK9&lt;&gt;"", CALCULO!AK9&lt;0), CALCULO!AK9 * -1, 0)</f>
        <v>0</v>
      </c>
      <c r="AN9" s="180">
        <f>IF(AND(CALCULO!AL9&lt;&gt;"", CALCULO!AL9&lt;0), CALCULO!AL9 * -1, 0)</f>
        <v>0</v>
      </c>
      <c r="AO9" s="180">
        <f>IF(AND(CALCULO!AM9&lt;&gt;"", CALCULO!AM9&lt;0), CALCULO!AM9 * -1, 0)</f>
        <v>0</v>
      </c>
      <c r="AP9" s="321">
        <f>+E9-(ALTAS!C9+AQ9+AR9)</f>
        <v>0</v>
      </c>
      <c r="AQ9" s="321">
        <f>+ALTAS!D9</f>
        <v>0</v>
      </c>
      <c r="AR9" s="321">
        <f>+ALTAS!E9</f>
        <v>0</v>
      </c>
      <c r="AS9" s="180">
        <f>IF(AND(CALCULO!AN9&lt;&gt;"", CALCULO!AN9&lt;0), CALCULO!AN9 * -1, 0)</f>
        <v>0</v>
      </c>
      <c r="AT9" s="180">
        <f>IF(AND(CALCULO!AO9&lt;&gt;"", CALCULO!AO9&lt;0), CALCULO!AO9 * -1, 0)</f>
        <v>0</v>
      </c>
      <c r="AU9" s="180">
        <f>IF(AND(CALCULO!AP9&lt;&gt;"", CALCULO!AP9&lt;0), CALCULO!AP9 * -1, 0)</f>
        <v>0</v>
      </c>
      <c r="AV9" s="180">
        <f>IF(AND(CALCULO!AQ9&lt;&gt;"", CALCULO!AQ9&lt;0), CALCULO!AQ9 * -1, 0)</f>
        <v>0</v>
      </c>
      <c r="AW9" s="165">
        <f>IF(AND(CALCULO!AT9&lt;&gt;"", CALCULO!AT9&lt;0), CALCULO!AT9 * -1, 0)</f>
        <v>0</v>
      </c>
      <c r="AX9" s="165">
        <f>IF(AND(CALCULO!AU9&lt;&gt;"", CALCULO!AU9&lt;0), CALCULO!AU9 * -1, 0)</f>
        <v>0</v>
      </c>
      <c r="AY9">
        <f t="shared" si="2"/>
        <v>0</v>
      </c>
      <c r="AZ9" s="146">
        <f t="shared" si="3"/>
        <v>0</v>
      </c>
      <c r="BB9" s="181"/>
      <c r="BC9" s="181"/>
      <c r="BG9" s="146">
        <f>IF(AND(CALCULO!AW8&lt;&gt;"", CALCULO!AW8&lt;0), CALCULO!WP8 * -1, 0)</f>
        <v>0</v>
      </c>
      <c r="BH9">
        <f>IF(AND(CALCULO!AX8&lt;&gt;"", CALCULO!AX8&lt;0), CALCULO!AX8 * -1, 0)</f>
        <v>0</v>
      </c>
    </row>
    <row r="10" spans="1:60" x14ac:dyDescent="0.25">
      <c r="A10" s="317"/>
      <c r="B10" s="318"/>
      <c r="C10" s="302"/>
      <c r="D10" s="243"/>
      <c r="E10" s="227">
        <f>+SUM(H10:AO10)</f>
        <v>0</v>
      </c>
      <c r="F10" s="227">
        <f t="shared" si="4"/>
        <v>0</v>
      </c>
      <c r="G10" s="227">
        <f t="shared" si="4"/>
        <v>0</v>
      </c>
      <c r="H10" s="260">
        <f>IF(AND(CALCULO!F10&lt;&gt;"", CALCULO!F10&lt;0), CALCULO!F10 * -1, 0)</f>
        <v>0</v>
      </c>
      <c r="I10" s="260">
        <f>IF(AND(CALCULO!G10&lt;&gt;"", CALCULO!G10&lt;0), CALCULO!G10 * -1, 0)</f>
        <v>0</v>
      </c>
      <c r="J10" s="260">
        <f>IF(AND(CALCULO!H10&lt;&gt;"", CALCULO!H10&lt;0), CALCULO!H10 * -1, 0)</f>
        <v>0</v>
      </c>
      <c r="K10" s="260">
        <f>IF(AND(CALCULO!I10&lt;&gt;"", CALCULO!I10&lt;0), CALCULO!I10 * -1, 0)</f>
        <v>0</v>
      </c>
      <c r="L10" s="260">
        <f>IF(AND(CALCULO!J10&lt;&gt;"", CALCULO!J10&lt;0), CALCULO!J10 * -1, 0)</f>
        <v>0</v>
      </c>
      <c r="M10" s="260">
        <f>IF(AND(CALCULO!K10&lt;&gt;"", CALCULO!K10&lt;0), CALCULO!K10 * -1, 0)</f>
        <v>0</v>
      </c>
      <c r="N10" s="260">
        <f>IF(AND(CALCULO!L10&lt;&gt;"", CALCULO!L10&lt;0), CALCULO!L10 * -1, 0)</f>
        <v>0</v>
      </c>
      <c r="O10" s="260">
        <f>IF(AND(CALCULO!M10&lt;&gt;"", CALCULO!M10&lt;0), CALCULO!M10 * -1, 0)</f>
        <v>0</v>
      </c>
      <c r="P10" s="260">
        <f>IF(AND(CALCULO!N10&lt;&gt;"", CALCULO!N10&lt;0), CALCULO!N10 * -1, 0)</f>
        <v>0</v>
      </c>
      <c r="Q10" s="260">
        <f>IF(AND(CALCULO!O10&lt;&gt;"", CALCULO!O10&lt;0), CALCULO!O10 * -1, 0)</f>
        <v>0</v>
      </c>
      <c r="R10" s="260">
        <f>IF(AND(CALCULO!P10&lt;&gt;"", CALCULO!P10&lt;0), CALCULO!P10 * -1, 0)</f>
        <v>0</v>
      </c>
      <c r="S10" s="260">
        <f>IF(AND(CALCULO!Q10&lt;&gt;"", CALCULO!Q10&lt;0), CALCULO!Q10 * -1, 0)</f>
        <v>0</v>
      </c>
      <c r="T10" s="260">
        <f>IF(AND(CALCULO!R10&lt;&gt;"", CALCULO!R10&lt;0), CALCULO!R10 * -1, 0)</f>
        <v>0</v>
      </c>
      <c r="U10" s="260">
        <f>IF(AND(CALCULO!S10&lt;&gt;"", CALCULO!S10&lt;0), CALCULO!S10 * -1, 0)</f>
        <v>0</v>
      </c>
      <c r="V10" s="260">
        <f>IF(AND(CALCULO!T10&lt;&gt;"", CALCULO!T10&lt;0), CALCULO!T10 * -1, 0)</f>
        <v>0</v>
      </c>
      <c r="W10" s="260">
        <f>IF(AND(CALCULO!U10&lt;&gt;"", CALCULO!U10&lt;0), CALCULO!U10 * -1, 0)</f>
        <v>0</v>
      </c>
      <c r="X10" s="260">
        <f>IF(AND(CALCULO!V10&lt;&gt;"", CALCULO!V10&lt;0), CALCULO!V10 * -1, 0)</f>
        <v>0</v>
      </c>
      <c r="Y10" s="260">
        <f>IF(AND(CALCULO!W10&lt;&gt;"", CALCULO!W10&lt;0), CALCULO!W10 * -1, 0)</f>
        <v>0</v>
      </c>
      <c r="Z10" s="260">
        <f>IF(AND(CALCULO!X10&lt;&gt;"", CALCULO!X10&lt;0), CALCULO!X10 * -1, 0)</f>
        <v>0</v>
      </c>
      <c r="AA10" s="260">
        <f>IF(AND(CALCULO!Y10&lt;&gt;"", CALCULO!Y10&lt;0), CALCULO!Y10 * -1, 0)</f>
        <v>0</v>
      </c>
      <c r="AB10" s="260">
        <f>IF(AND(CALCULO!Z10&lt;&gt;"", CALCULO!Z10&lt;0), CALCULO!Z10 * -1, 0)</f>
        <v>0</v>
      </c>
      <c r="AC10" s="260">
        <f>IF(AND(CALCULO!AA10&lt;&gt;"", CALCULO!AA10&lt;0), CALCULO!AA10 * -1, 0)</f>
        <v>0</v>
      </c>
      <c r="AD10" s="260">
        <f>IF(AND(CALCULO!AB10&lt;&gt;"", CALCULO!AB10&lt;0), CALCULO!AB10 * -1, 0)</f>
        <v>0</v>
      </c>
      <c r="AE10" s="260">
        <f>IF(AND(CALCULO!AC10&lt;&gt;"", CALCULO!AC10&lt;0), CALCULO!AC10 * -1, 0)</f>
        <v>0</v>
      </c>
      <c r="AF10" s="260">
        <f>IF(AND(CALCULO!AD10&lt;&gt;"", CALCULO!AD10&lt;0), CALCULO!AD10 * -1, 0)</f>
        <v>0</v>
      </c>
      <c r="AG10" s="260">
        <f>IF(AND(CALCULO!AE10&lt;&gt;"", CALCULO!AE10&lt;0), CALCULO!AE10 * -1, 0)</f>
        <v>0</v>
      </c>
      <c r="AH10" s="260">
        <f>IF(AND(CALCULO!AF10&lt;&gt;"", CALCULO!AF10&lt;0), CALCULO!AF10 * -1, 0)</f>
        <v>0</v>
      </c>
      <c r="AI10" s="260">
        <f>IF(AND(CALCULO!AG10&lt;&gt;"", CALCULO!AG10&lt;0), CALCULO!AG10 * -1, 0)</f>
        <v>0</v>
      </c>
      <c r="AJ10" s="260">
        <f>IF(AND(CALCULO!AH10&lt;&gt;"", CALCULO!AH10&lt;0), CALCULO!AH10 * -1, 0)</f>
        <v>0</v>
      </c>
      <c r="AK10" s="260">
        <f>IF(AND(CALCULO!AI10&lt;&gt;"", CALCULO!AI10&lt;0), CALCULO!AI10 * -1, 0)</f>
        <v>0</v>
      </c>
      <c r="AL10" s="260">
        <f>IF(AND(CALCULO!AJ10&lt;&gt;"", CALCULO!AJ10&lt;0), CALCULO!AJ10 * -1, 0)</f>
        <v>0</v>
      </c>
      <c r="AM10" s="260">
        <f>IF(AND(CALCULO!AK10&lt;&gt;"", CALCULO!AK10&lt;0), CALCULO!AK10 * -1, 0)</f>
        <v>0</v>
      </c>
      <c r="AN10" s="260">
        <f>IF(AND(CALCULO!AL10&lt;&gt;"", CALCULO!AL10&lt;0), CALCULO!AL10 * -1, 0)</f>
        <v>0</v>
      </c>
      <c r="AO10" s="260">
        <f>IF(AND(CALCULO!AM10&lt;&gt;"", CALCULO!AM10&lt;0), CALCULO!AM10 * -1, 0)</f>
        <v>0</v>
      </c>
      <c r="AP10" s="321">
        <f>+E10-(ALTAS!C10+AQ10+AR10)</f>
        <v>0</v>
      </c>
      <c r="AQ10" s="321">
        <f>+ALTAS!D10</f>
        <v>0</v>
      </c>
      <c r="AR10" s="321">
        <f>+ALTAS!E10</f>
        <v>0</v>
      </c>
      <c r="AS10" s="260">
        <f>IF(AND(CALCULO!AN10&lt;&gt;"", CALCULO!AN10&lt;0), CALCULO!AN10 * -1, 0)</f>
        <v>0</v>
      </c>
      <c r="AT10" s="260">
        <f>IF(AND(CALCULO!AO10&lt;&gt;"", CALCULO!AO10&lt;0), CALCULO!AO10 * -1, 0)</f>
        <v>0</v>
      </c>
      <c r="AU10" s="260">
        <f>IF(AND(CALCULO!AP10&lt;&gt;"", CALCULO!AP10&lt;0), CALCULO!AP10 * -1, 0)</f>
        <v>0</v>
      </c>
      <c r="AV10" s="260">
        <f>IF(AND(CALCULO!AQ10&lt;&gt;"", CALCULO!AQ10&lt;0), CALCULO!AQ10 * -1, 0)</f>
        <v>0</v>
      </c>
      <c r="AW10" s="207">
        <f>IF(AND(CALCULO!AT10&lt;&gt;"", CALCULO!AT10&lt;0), CALCULO!AT10 * -1, 0)</f>
        <v>0</v>
      </c>
      <c r="AX10" s="207">
        <f>IF(AND(CALCULO!AU10&lt;&gt;"", CALCULO!AU10&lt;0), CALCULO!AU10 * -1, 0)</f>
        <v>0</v>
      </c>
      <c r="AY10">
        <f t="shared" si="2"/>
        <v>0</v>
      </c>
      <c r="AZ10" s="146">
        <f t="shared" si="3"/>
        <v>0</v>
      </c>
      <c r="BB10" s="181"/>
      <c r="BC10" s="181"/>
      <c r="BG10" s="146">
        <f>IF(AND(CALCULO!AW9&lt;&gt;"", CALCULO!AW9&lt;0), CALCULO!WP9 * -1, 0)</f>
        <v>0</v>
      </c>
      <c r="BH10">
        <f>IF(AND(CALCULO!AX9&lt;&gt;"", CALCULO!AX9&lt;0), CALCULO!AX9 * -1, 0)</f>
        <v>0</v>
      </c>
    </row>
    <row r="11" spans="1:60" ht="15.75" thickBot="1" x14ac:dyDescent="0.3">
      <c r="A11" s="317"/>
      <c r="B11" s="318"/>
      <c r="C11" s="302"/>
      <c r="D11" s="243"/>
      <c r="E11" s="228">
        <f t="shared" si="5"/>
        <v>0</v>
      </c>
      <c r="F11" s="228">
        <f t="shared" si="4"/>
        <v>0</v>
      </c>
      <c r="G11" s="228">
        <f t="shared" si="4"/>
        <v>0</v>
      </c>
      <c r="H11" s="259">
        <f>IF(AND(CALCULO!F11&lt;&gt;"", CALCULO!F11&lt;0), CALCULO!F11 * -1, 0)</f>
        <v>0</v>
      </c>
      <c r="I11" s="259">
        <f>IF(AND(CALCULO!G11&lt;&gt;"", CALCULO!G11&lt;0), CALCULO!G11 * -1, 0)</f>
        <v>0</v>
      </c>
      <c r="J11" s="259">
        <f>IF(AND(CALCULO!H11&lt;&gt;"", CALCULO!H11&lt;0), CALCULO!H11 * -1, 0)</f>
        <v>0</v>
      </c>
      <c r="K11" s="259">
        <f>IF(AND(CALCULO!I11&lt;&gt;"", CALCULO!I11&lt;0), CALCULO!I11 * -1, 0)</f>
        <v>0</v>
      </c>
      <c r="L11" s="259">
        <f>IF(AND(CALCULO!J11&lt;&gt;"", CALCULO!J11&lt;0), CALCULO!J11 * -1, 0)</f>
        <v>0</v>
      </c>
      <c r="M11" s="259">
        <f>IF(AND(CALCULO!K11&lt;&gt;"", CALCULO!K11&lt;0), CALCULO!K11 * -1, 0)</f>
        <v>0</v>
      </c>
      <c r="N11" s="259">
        <f>IF(AND(CALCULO!L11&lt;&gt;"", CALCULO!L11&lt;0), CALCULO!L11 * -1, 0)</f>
        <v>0</v>
      </c>
      <c r="O11" s="259">
        <f>IF(AND(CALCULO!M11&lt;&gt;"", CALCULO!M11&lt;0), CALCULO!M11 * -1, 0)</f>
        <v>0</v>
      </c>
      <c r="P11" s="259">
        <f>IF(AND(CALCULO!N11&lt;&gt;"", CALCULO!N11&lt;0), CALCULO!N11 * -1, 0)</f>
        <v>0</v>
      </c>
      <c r="Q11" s="259">
        <f>IF(AND(CALCULO!O11&lt;&gt;"", CALCULO!O11&lt;0), CALCULO!O11 * -1, 0)</f>
        <v>0</v>
      </c>
      <c r="R11" s="259">
        <f>IF(AND(CALCULO!P11&lt;&gt;"", CALCULO!P11&lt;0), CALCULO!P11 * -1, 0)</f>
        <v>0</v>
      </c>
      <c r="S11" s="259">
        <f>IF(AND(CALCULO!Q11&lt;&gt;"", CALCULO!Q11&lt;0), CALCULO!Q11 * -1, 0)</f>
        <v>0</v>
      </c>
      <c r="T11" s="259">
        <f>IF(AND(CALCULO!R11&lt;&gt;"", CALCULO!R11&lt;0), CALCULO!R11 * -1, 0)</f>
        <v>0</v>
      </c>
      <c r="U11" s="259">
        <f>IF(AND(CALCULO!S11&lt;&gt;"", CALCULO!S11&lt;0), CALCULO!S11 * -1, 0)</f>
        <v>0</v>
      </c>
      <c r="V11" s="259">
        <f>IF(AND(CALCULO!T11&lt;&gt;"", CALCULO!T11&lt;0), CALCULO!T11 * -1, 0)</f>
        <v>0</v>
      </c>
      <c r="W11" s="259">
        <f>IF(AND(CALCULO!U11&lt;&gt;"", CALCULO!U11&lt;0), CALCULO!U11 * -1, 0)</f>
        <v>0</v>
      </c>
      <c r="X11" s="259">
        <f>IF(AND(CALCULO!V11&lt;&gt;"", CALCULO!V11&lt;0), CALCULO!V11 * -1, 0)</f>
        <v>0</v>
      </c>
      <c r="Y11" s="259">
        <f>IF(AND(CALCULO!W11&lt;&gt;"", CALCULO!W11&lt;0), CALCULO!W11 * -1, 0)</f>
        <v>0</v>
      </c>
      <c r="Z11" s="259">
        <f>IF(AND(CALCULO!X11&lt;&gt;"", CALCULO!X11&lt;0), CALCULO!X11 * -1, 0)</f>
        <v>0</v>
      </c>
      <c r="AA11" s="259">
        <f>IF(AND(CALCULO!Y11&lt;&gt;"", CALCULO!Y11&lt;0), CALCULO!Y11 * -1, 0)</f>
        <v>0</v>
      </c>
      <c r="AB11" s="259">
        <f>IF(AND(CALCULO!Z11&lt;&gt;"", CALCULO!Z11&lt;0), CALCULO!Z11 * -1, 0)</f>
        <v>0</v>
      </c>
      <c r="AC11" s="259">
        <f>IF(AND(CALCULO!AA11&lt;&gt;"", CALCULO!AA11&lt;0), CALCULO!AA11 * -1, 0)</f>
        <v>0</v>
      </c>
      <c r="AD11" s="259">
        <f>IF(AND(CALCULO!AB11&lt;&gt;"", CALCULO!AB11&lt;0), CALCULO!AB11 * -1, 0)</f>
        <v>0</v>
      </c>
      <c r="AE11" s="259">
        <f>IF(AND(CALCULO!AC11&lt;&gt;"", CALCULO!AC11&lt;0), CALCULO!AC11 * -1, 0)</f>
        <v>0</v>
      </c>
      <c r="AF11" s="259">
        <f>IF(AND(CALCULO!AD11&lt;&gt;"", CALCULO!AD11&lt;0), CALCULO!AD11 * -1, 0)</f>
        <v>0</v>
      </c>
      <c r="AG11" s="259">
        <f>IF(AND(CALCULO!AE11&lt;&gt;"", CALCULO!AE11&lt;0), CALCULO!AE11 * -1, 0)</f>
        <v>0</v>
      </c>
      <c r="AH11" s="259">
        <f>IF(AND(CALCULO!AF11&lt;&gt;"", CALCULO!AF11&lt;0), CALCULO!AF11 * -1, 0)</f>
        <v>0</v>
      </c>
      <c r="AI11" s="259">
        <f>IF(AND(CALCULO!AG11&lt;&gt;"", CALCULO!AG11&lt;0), CALCULO!AG11 * -1, 0)</f>
        <v>0</v>
      </c>
      <c r="AJ11" s="259">
        <f>IF(AND(CALCULO!AH11&lt;&gt;"", CALCULO!AH11&lt;0), CALCULO!AH11 * -1, 0)</f>
        <v>0</v>
      </c>
      <c r="AK11" s="259">
        <f>IF(AND(CALCULO!AI11&lt;&gt;"", CALCULO!AI11&lt;0), CALCULO!AI11 * -1, 0)</f>
        <v>0</v>
      </c>
      <c r="AL11" s="259">
        <f>IF(AND(CALCULO!AJ11&lt;&gt;"", CALCULO!AJ11&lt;0), CALCULO!AJ11 * -1, 0)</f>
        <v>0</v>
      </c>
      <c r="AM11" s="259">
        <f>IF(AND(CALCULO!AK11&lt;&gt;"", CALCULO!AK11&lt;0), CALCULO!AK11 * -1, 0)</f>
        <v>0</v>
      </c>
      <c r="AN11" s="259">
        <f>IF(AND(CALCULO!AL11&lt;&gt;"", CALCULO!AL11&lt;0), CALCULO!AL11 * -1, 0)</f>
        <v>0</v>
      </c>
      <c r="AO11" s="259">
        <f>IF(AND(CALCULO!AM11&lt;&gt;"", CALCULO!AM11&lt;0), CALCULO!AM11 * -1, 0)</f>
        <v>0</v>
      </c>
      <c r="AP11" s="321">
        <f>+E11-(ALTAS!C11+AQ11+AR11)</f>
        <v>0</v>
      </c>
      <c r="AQ11" s="321">
        <f>+ALTAS!D11</f>
        <v>0</v>
      </c>
      <c r="AR11" s="321">
        <f>+ALTAS!E11</f>
        <v>0</v>
      </c>
      <c r="AS11" s="259">
        <f>IF(AND(CALCULO!AN11&lt;&gt;"", CALCULO!AN11&lt;0), CALCULO!AN11 * -1, 0)</f>
        <v>0</v>
      </c>
      <c r="AT11" s="259">
        <f>IF(AND(CALCULO!AO11&lt;&gt;"", CALCULO!AO11&lt;0), CALCULO!AO11 * -1, 0)</f>
        <v>0</v>
      </c>
      <c r="AU11" s="259">
        <f>IF(AND(CALCULO!AP11&lt;&gt;"", CALCULO!AP11&lt;0), CALCULO!AP11 * -1, 0)</f>
        <v>0</v>
      </c>
      <c r="AV11" s="259">
        <f>IF(AND(CALCULO!AQ11&lt;&gt;"", CALCULO!AQ11&lt;0), CALCULO!AQ11 * -1, 0)</f>
        <v>0</v>
      </c>
      <c r="AW11" s="165">
        <f>IF(AND(CALCULO!AT11&lt;&gt;"", CALCULO!AT11&lt;0), CALCULO!AT11 * -1, 0)</f>
        <v>0</v>
      </c>
      <c r="AX11" s="165">
        <f>IF(AND(CALCULO!AU11&lt;&gt;"", CALCULO!AU11&lt;0), CALCULO!AU11 * -1, 0)</f>
        <v>0</v>
      </c>
      <c r="AY11">
        <f t="shared" si="2"/>
        <v>0</v>
      </c>
      <c r="AZ11" s="146">
        <f t="shared" si="3"/>
        <v>0</v>
      </c>
      <c r="BB11" s="181"/>
      <c r="BC11" s="181"/>
      <c r="BG11" s="146">
        <f>IF(AND(CALCULO!AW10&lt;&gt;"", CALCULO!AW10&lt;0), CALCULO!WP10 * -1, 0)</f>
        <v>0</v>
      </c>
      <c r="BH11">
        <f>IF(AND(CALCULO!AX10&lt;&gt;"", CALCULO!AX10&lt;0), CALCULO!AX10 * -1, 0)</f>
        <v>0</v>
      </c>
    </row>
    <row r="12" spans="1:60" s="361" customFormat="1" x14ac:dyDescent="0.25">
      <c r="A12" s="389"/>
      <c r="B12" s="390"/>
      <c r="C12" s="421" t="s">
        <v>39</v>
      </c>
      <c r="D12" s="422"/>
      <c r="E12" s="362">
        <f t="shared" si="1"/>
        <v>0</v>
      </c>
      <c r="F12" s="363" t="str">
        <f>IF(AND(CALCULO!D12&lt;&gt;"", CALCULO!D12&lt;0), CALCULO!D12 * -1, "")</f>
        <v/>
      </c>
      <c r="G12" s="364" t="str">
        <f>IF(AND(CALCULO!E12&lt;&gt;"", CALCULO!E12&lt;0), CALCULO!E12 * -1, "")</f>
        <v/>
      </c>
      <c r="H12" s="365">
        <f>IF(AND(CALCULO!F12&lt;&gt;"", CALCULO!F12&lt;0), CALCULO!F12 * -1, 0)</f>
        <v>0</v>
      </c>
      <c r="I12" s="363">
        <f>IF(AND(CALCULO!G12&lt;&gt;"", CALCULO!G12&lt;0), CALCULO!G12 * -1, 0)</f>
        <v>0</v>
      </c>
      <c r="J12" s="363">
        <f>IF(AND(CALCULO!H12&lt;&gt;"", CALCULO!H12&lt;0), CALCULO!H12 * -1, 0)</f>
        <v>0</v>
      </c>
      <c r="K12" s="363">
        <f>IF(AND(CALCULO!I12&lt;&gt;"", CALCULO!I12&lt;0), CALCULO!I12 * -1, 0)</f>
        <v>0</v>
      </c>
      <c r="L12" s="363">
        <f>IF(AND(CALCULO!J12&lt;&gt;"", CALCULO!J12&lt;0), CALCULO!J12 * -1, 0)</f>
        <v>0</v>
      </c>
      <c r="M12" s="363">
        <f>IF(AND(CALCULO!K12&lt;&gt;"", CALCULO!K12&lt;0), CALCULO!K12 * -1, 0)</f>
        <v>0</v>
      </c>
      <c r="N12" s="363">
        <f>IF(AND(CALCULO!L12&lt;&gt;"", CALCULO!L12&lt;0), CALCULO!L12 * -1, 0)</f>
        <v>0</v>
      </c>
      <c r="O12" s="363">
        <f>IF(AND(CALCULO!M12&lt;&gt;"", CALCULO!M12&lt;0), CALCULO!M12 * -1, 0)</f>
        <v>0</v>
      </c>
      <c r="P12" s="363">
        <f>IF(AND(CALCULO!N12&lt;&gt;"", CALCULO!N12&lt;0), CALCULO!N12 * -1, 0)</f>
        <v>0</v>
      </c>
      <c r="Q12" s="363">
        <f>IF(AND(CALCULO!O12&lt;&gt;"", CALCULO!O12&lt;0), CALCULO!O12 * -1, 0)</f>
        <v>0</v>
      </c>
      <c r="R12" s="363">
        <f>IF(AND(CALCULO!P12&lt;&gt;"", CALCULO!P12&lt;0), CALCULO!P12 * -1, 0)</f>
        <v>0</v>
      </c>
      <c r="S12" s="363">
        <f>IF(AND(CALCULO!Q12&lt;&gt;"", CALCULO!Q12&lt;0), CALCULO!Q12 * -1, 0)</f>
        <v>0</v>
      </c>
      <c r="T12" s="363">
        <f>IF(AND(CALCULO!R12&lt;&gt;"", CALCULO!R12&lt;0), CALCULO!R12 * -1, 0)</f>
        <v>0</v>
      </c>
      <c r="U12" s="363">
        <f>IF(AND(CALCULO!S12&lt;&gt;"", CALCULO!S12&lt;0), CALCULO!S12 * -1, 0)</f>
        <v>0</v>
      </c>
      <c r="V12" s="363">
        <f>IF(AND(CALCULO!T12&lt;&gt;"", CALCULO!T12&lt;0), CALCULO!T12 * -1, 0)</f>
        <v>0</v>
      </c>
      <c r="W12" s="363">
        <f>IF(AND(CALCULO!U12&lt;&gt;"", CALCULO!U12&lt;0), CALCULO!U12 * -1, 0)</f>
        <v>0</v>
      </c>
      <c r="X12" s="363">
        <f>IF(AND(CALCULO!V12&lt;&gt;"", CALCULO!V12&lt;0), CALCULO!V12 * -1, 0)</f>
        <v>0</v>
      </c>
      <c r="Y12" s="363">
        <f>IF(AND(CALCULO!W12&lt;&gt;"", CALCULO!W12&lt;0), CALCULO!W12 * -1, 0)</f>
        <v>0</v>
      </c>
      <c r="Z12" s="363">
        <f>IF(AND(CALCULO!X12&lt;&gt;"", CALCULO!X12&lt;0), CALCULO!X12 * -1, 0)</f>
        <v>0</v>
      </c>
      <c r="AA12" s="363">
        <f>IF(AND(CALCULO!Y12&lt;&gt;"", CALCULO!Y12&lt;0), CALCULO!Y12 * -1, 0)</f>
        <v>0</v>
      </c>
      <c r="AB12" s="363">
        <f>IF(AND(CALCULO!Z12&lt;&gt;"", CALCULO!Z12&lt;0), CALCULO!Z12 * -1, 0)</f>
        <v>0</v>
      </c>
      <c r="AC12" s="363">
        <f>IF(AND(CALCULO!AA12&lt;&gt;"", CALCULO!AA12&lt;0), CALCULO!AA12 * -1, 0)</f>
        <v>0</v>
      </c>
      <c r="AD12" s="363">
        <f>IF(AND(CALCULO!AB12&lt;&gt;"", CALCULO!AB12&lt;0), CALCULO!AB12 * -1, 0)</f>
        <v>0</v>
      </c>
      <c r="AE12" s="363">
        <f>IF(AND(CALCULO!AC12&lt;&gt;"", CALCULO!AC12&lt;0), CALCULO!AC12 * -1, 0)</f>
        <v>0</v>
      </c>
      <c r="AF12" s="363">
        <f>IF(AND(CALCULO!AD12&lt;&gt;"", CALCULO!AD12&lt;0), CALCULO!AD12 * -1, 0)</f>
        <v>0</v>
      </c>
      <c r="AG12" s="363">
        <f>IF(AND(CALCULO!AE12&lt;&gt;"", CALCULO!AE12&lt;0), CALCULO!AE12 * -1, 0)</f>
        <v>0</v>
      </c>
      <c r="AH12" s="363">
        <f>IF(AND(CALCULO!AF12&lt;&gt;"", CALCULO!AF12&lt;0), CALCULO!AF12 * -1, 0)</f>
        <v>0</v>
      </c>
      <c r="AI12" s="363">
        <f>IF(AND(CALCULO!AG12&lt;&gt;"", CALCULO!AG12&lt;0), CALCULO!AG12 * -1, 0)</f>
        <v>0</v>
      </c>
      <c r="AJ12" s="363">
        <f>IF(AND(CALCULO!AH12&lt;&gt;"", CALCULO!AH12&lt;0), CALCULO!AH12 * -1, 0)</f>
        <v>0</v>
      </c>
      <c r="AK12" s="363">
        <f>IF(AND(CALCULO!AI12&lt;&gt;"", CALCULO!AI12&lt;0), CALCULO!AI12 * -1, 0)</f>
        <v>0</v>
      </c>
      <c r="AL12" s="363">
        <f>IF(AND(CALCULO!AJ12&lt;&gt;"", CALCULO!AJ12&lt;0), CALCULO!AJ12 * -1, 0)</f>
        <v>0</v>
      </c>
      <c r="AM12" s="363">
        <f>IF(AND(CALCULO!AK12&lt;&gt;"", CALCULO!AK12&lt;0), CALCULO!AK12 * -1, 0)</f>
        <v>0</v>
      </c>
      <c r="AN12" s="363">
        <f>IF(AND(CALCULO!AL12&lt;&gt;"", CALCULO!AL12&lt;0), CALCULO!AL12 * -1, 0)</f>
        <v>0</v>
      </c>
      <c r="AO12" s="366">
        <f>IF(AND(CALCULO!AM12&lt;&gt;"", CALCULO!AM12&lt;0), CALCULO!AM12 * -1, 0)</f>
        <v>0</v>
      </c>
      <c r="AP12" s="361">
        <f>+E12-(ALTAS!C12+AQ12+AR12)</f>
        <v>0</v>
      </c>
      <c r="AQ12" s="361">
        <f>+ALTAS!D12</f>
        <v>0</v>
      </c>
      <c r="AR12" s="321">
        <f>+ALTAS!E12</f>
        <v>0</v>
      </c>
      <c r="AS12" s="367">
        <f>IF(AND(CALCULO!AN12&lt;&gt;"", CALCULO!AN12&lt;0), CALCULO!AN12 * -1, 0)</f>
        <v>0</v>
      </c>
      <c r="AT12" s="367">
        <f>IF(AND(CALCULO!AO12&lt;&gt;"", CALCULO!AO12&lt;0), CALCULO!AO12 * -1, 0)</f>
        <v>0</v>
      </c>
      <c r="AU12" s="367">
        <f>IF(AND(CALCULO!AP12&lt;&gt;"", CALCULO!AP12&lt;0), CALCULO!AP12 * -1, 0)</f>
        <v>0</v>
      </c>
      <c r="AV12" s="365">
        <f>IF(AND(CALCULO!AN12&lt;&gt;"", CALCULO!AN12&lt;0), CALCULO!AN12 * -1, 0)</f>
        <v>0</v>
      </c>
      <c r="AW12" s="368">
        <f>IF(AND(CALCULO!AT12&lt;&gt;"", CALCULO!AT12&lt;0), CALCULO!AT12 * -1, 0)</f>
        <v>0</v>
      </c>
      <c r="AX12" s="368">
        <f>IF(AND(CALCULO!AU12&lt;&gt;"", CALCULO!AU12&lt;0), CALCULO!AU12 * -1, 0)</f>
        <v>0</v>
      </c>
      <c r="AY12" s="361">
        <f t="shared" si="2"/>
        <v>0</v>
      </c>
      <c r="AZ12" s="369">
        <f t="shared" si="3"/>
        <v>0</v>
      </c>
      <c r="BA12" s="370"/>
      <c r="BB12" s="371">
        <f>IF(AND(CALCULO!AR7&lt;&gt;"", CALCULO!AR7&lt;0), CALCULO!AR7 * -1, 0)</f>
        <v>0</v>
      </c>
      <c r="BC12" s="371">
        <f>IF(AND(CALCULO!AS7&lt;&gt;"", CALCULO!AS7&lt;0), CALCULO!AS7 * -1, 0)</f>
        <v>0</v>
      </c>
      <c r="BG12" s="369">
        <f>IF(AND(CALCULO!AW11&lt;&gt;"", CALCULO!AW11&lt;0), CALCULO!WP11 * -1, 0)</f>
        <v>0</v>
      </c>
      <c r="BH12" s="361">
        <f>IF(AND(CALCULO!AX11&lt;&gt;"", CALCULO!AX11&lt;0), CALCULO!AX11 * -1, 0)</f>
        <v>0</v>
      </c>
    </row>
    <row r="13" spans="1:60" x14ac:dyDescent="0.25">
      <c r="A13" s="391"/>
      <c r="B13" s="171"/>
      <c r="C13" s="423" t="s">
        <v>40</v>
      </c>
      <c r="D13" s="256" t="s">
        <v>41</v>
      </c>
      <c r="E13" s="228">
        <f t="shared" si="1"/>
        <v>2</v>
      </c>
      <c r="F13" s="154">
        <f>IF(AND(CALCULO!D13&lt;&gt;"", CALCULO!D13&lt;0), CALCULO!D13 * -1, "")</f>
        <v>1</v>
      </c>
      <c r="G13" s="219">
        <f>IF(AND(CALCULO!E13&lt;&gt;"", CALCULO!E13&lt;0), CALCULO!E13 * -1, "")</f>
        <v>1</v>
      </c>
      <c r="H13" s="261">
        <f>IF(AND(CALCULO!F13&lt;&gt;"", CALCULO!F13&lt;0), CALCULO!F13 * -1, 0)</f>
        <v>0</v>
      </c>
      <c r="I13" s="232">
        <f>IF(AND(CALCULO!G13&lt;&gt;"", CALCULO!G13&lt;0), CALCULO!G13 * -1, 0)</f>
        <v>0</v>
      </c>
      <c r="J13" s="154">
        <f>IF(AND(CALCULO!H13&lt;&gt;"", CALCULO!H13&lt;0), CALCULO!H13 * -1, 0)</f>
        <v>0</v>
      </c>
      <c r="K13" s="154">
        <f>IF(AND(CALCULO!I13&lt;&gt;"", CALCULO!I13&lt;0), CALCULO!I13 * -1, 0)</f>
        <v>0</v>
      </c>
      <c r="L13" s="154">
        <f>IF(AND(CALCULO!J13&lt;&gt;"", CALCULO!J13&lt;0), CALCULO!J13 * -1, 0)</f>
        <v>0</v>
      </c>
      <c r="M13" s="154">
        <f>IF(AND(CALCULO!K13&lt;&gt;"", CALCULO!K13&lt;0), CALCULO!K13 * -1, 0)</f>
        <v>0</v>
      </c>
      <c r="N13" s="154">
        <f>IF(AND(CALCULO!L13&lt;&gt;"", CALCULO!L13&lt;0), CALCULO!L13 * -1, 0)</f>
        <v>0</v>
      </c>
      <c r="O13" s="154">
        <f>IF(AND(CALCULO!M13&lt;&gt;"", CALCULO!M13&lt;0), CALCULO!M13 * -1, 0)</f>
        <v>0</v>
      </c>
      <c r="P13" s="154">
        <f>IF(AND(CALCULO!N13&lt;&gt;"", CALCULO!N13&lt;0), CALCULO!N13 * -1, 0)</f>
        <v>0</v>
      </c>
      <c r="Q13" s="154">
        <f>IF(AND(CALCULO!O13&lt;&gt;"", CALCULO!O13&lt;0), CALCULO!O13 * -1, 0)</f>
        <v>0</v>
      </c>
      <c r="R13" s="154">
        <f>IF(AND(CALCULO!P13&lt;&gt;"", CALCULO!P13&lt;0), CALCULO!P13 * -1, 0)</f>
        <v>0</v>
      </c>
      <c r="S13" s="154">
        <f>IF(AND(CALCULO!Q13&lt;&gt;"", CALCULO!Q13&lt;0), CALCULO!Q13 * -1, 0)</f>
        <v>0</v>
      </c>
      <c r="T13" s="154">
        <f>IF(AND(CALCULO!R13&lt;&gt;"", CALCULO!R13&lt;0), CALCULO!R13 * -1, 0)</f>
        <v>0</v>
      </c>
      <c r="U13" s="154">
        <f>IF(AND(CALCULO!S13&lt;&gt;"", CALCULO!S13&lt;0), CALCULO!S13 * -1, 0)</f>
        <v>0</v>
      </c>
      <c r="V13" s="154">
        <f>IF(AND(CALCULO!T13&lt;&gt;"", CALCULO!T13&lt;0), CALCULO!T13 * -1, 0)</f>
        <v>0</v>
      </c>
      <c r="W13" s="154">
        <f>IF(AND(CALCULO!U13&lt;&gt;"", CALCULO!U13&lt;0), CALCULO!U13 * -1, 0)</f>
        <v>1</v>
      </c>
      <c r="X13" s="154">
        <f>IF(AND(CALCULO!V13&lt;&gt;"", CALCULO!V13&lt;0), CALCULO!V13 * -1, 0)</f>
        <v>0</v>
      </c>
      <c r="Y13" s="154">
        <f>IF(AND(CALCULO!W13&lt;&gt;"", CALCULO!W13&lt;0), CALCULO!W13 * -1, 0)</f>
        <v>0</v>
      </c>
      <c r="Z13" s="154">
        <f>IF(AND(CALCULO!X13&lt;&gt;"", CALCULO!X13&lt;0), CALCULO!X13 * -1, 0)</f>
        <v>0</v>
      </c>
      <c r="AA13" s="154">
        <f>IF(AND(CALCULO!Y13&lt;&gt;"", CALCULO!Y13&lt;0), CALCULO!Y13 * -1, 0)</f>
        <v>0</v>
      </c>
      <c r="AB13" s="154">
        <f>IF(AND(CALCULO!Z13&lt;&gt;"", CALCULO!Z13&lt;0), CALCULO!Z13 * -1, 0)</f>
        <v>1</v>
      </c>
      <c r="AC13" s="154">
        <f>IF(AND(CALCULO!AA13&lt;&gt;"", CALCULO!AA13&lt;0), CALCULO!AA13 * -1, 0)</f>
        <v>0</v>
      </c>
      <c r="AD13" s="154">
        <f>IF(AND(CALCULO!AB13&lt;&gt;"", CALCULO!AB13&lt;0), CALCULO!AB13 * -1, 0)</f>
        <v>0</v>
      </c>
      <c r="AE13" s="154">
        <f>IF(AND(CALCULO!AC13&lt;&gt;"", CALCULO!AC13&lt;0), CALCULO!AC13 * -1, 0)</f>
        <v>0</v>
      </c>
      <c r="AF13" s="154">
        <f>IF(AND(CALCULO!AD13&lt;&gt;"", CALCULO!AD13&lt;0), CALCULO!AD13 * -1, 0)</f>
        <v>0</v>
      </c>
      <c r="AG13" s="154">
        <f>IF(AND(CALCULO!AE13&lt;&gt;"", CALCULO!AE13&lt;0), CALCULO!AE13 * -1, 0)</f>
        <v>0</v>
      </c>
      <c r="AH13" s="154">
        <f>IF(AND(CALCULO!AF13&lt;&gt;"", CALCULO!AF13&lt;0), CALCULO!AF13 * -1, 0)</f>
        <v>0</v>
      </c>
      <c r="AI13" s="154">
        <f>IF(AND(CALCULO!AG13&lt;&gt;"", CALCULO!AG13&lt;0), CALCULO!AG13 * -1, 0)</f>
        <v>0</v>
      </c>
      <c r="AJ13" s="154">
        <f>IF(AND(CALCULO!AH13&lt;&gt;"", CALCULO!AH13&lt;0), CALCULO!AH13 * -1, 0)</f>
        <v>0</v>
      </c>
      <c r="AK13" s="154">
        <f>IF(AND(CALCULO!AI13&lt;&gt;"", CALCULO!AI13&lt;0), CALCULO!AI13 * -1, 0)</f>
        <v>0</v>
      </c>
      <c r="AL13" s="154">
        <f>IF(AND(CALCULO!AJ13&lt;&gt;"", CALCULO!AJ13&lt;0), CALCULO!AJ13 * -1, 0)</f>
        <v>0</v>
      </c>
      <c r="AM13" s="154">
        <f>IF(AND(CALCULO!AK13&lt;&gt;"", CALCULO!AK13&lt;0), CALCULO!AK13 * -1, 0)</f>
        <v>0</v>
      </c>
      <c r="AN13" s="154">
        <f>IF(AND(CALCULO!AL13&lt;&gt;"", CALCULO!AL13&lt;0), CALCULO!AL13 * -1, 0)</f>
        <v>0</v>
      </c>
      <c r="AO13" s="163">
        <f>IF(AND(CALCULO!AM13&lt;&gt;"", CALCULO!AM13&lt;0), CALCULO!AM13 * -1, 0)</f>
        <v>0</v>
      </c>
      <c r="AP13" s="321">
        <f>+E13-(ALTAS!C13+AQ13+AR13)</f>
        <v>2</v>
      </c>
      <c r="AQ13" s="321">
        <f>+ALTAS!D13</f>
        <v>0</v>
      </c>
      <c r="AR13" s="321">
        <f>+ALTAS!E13</f>
        <v>0</v>
      </c>
      <c r="AS13" s="259">
        <f>IF(AND(CALCULO!AN13&lt;&gt;"", CALCULO!AN13&lt;0), CALCULO!AN13 * -1, 0)</f>
        <v>0</v>
      </c>
      <c r="AT13" s="154">
        <f>IF(AND(CALCULO!AO13&lt;&gt;"", CALCULO!AO13&lt;0), CALCULO!AO13 * -1, 0)</f>
        <v>1</v>
      </c>
      <c r="AU13" s="154">
        <f>IF(AND(CALCULO!AP13&lt;&gt;"", CALCULO!AP13&lt;0), CALCULO!AP13 * -1, 0)</f>
        <v>1</v>
      </c>
      <c r="AV13" s="154">
        <f>IF(AND(CALCULO!AQ13&lt;&gt;"", CALCULO!AQ13&lt;0), CALCULO!AQ13 * -1, 0)</f>
        <v>0</v>
      </c>
      <c r="AW13" s="165">
        <f>IF(AND(CALCULO!AT13&lt;&gt;"", CALCULO!AT13&lt;0), CALCULO!AT13 * -1, 0)</f>
        <v>0</v>
      </c>
      <c r="AX13" s="165">
        <f>IF(AND(CALCULO!AU13&lt;&gt;"", CALCULO!AU13&lt;0), CALCULO!AU13 * -1, 0)</f>
        <v>0</v>
      </c>
      <c r="AY13">
        <f t="shared" si="2"/>
        <v>0</v>
      </c>
      <c r="AZ13" s="146">
        <f t="shared" si="3"/>
        <v>0</v>
      </c>
      <c r="BB13" s="181">
        <f>IF(AND(CALCULO!AR12&lt;&gt;"", CALCULO!AR12&lt;0), CALCULO!AR12 * -1, 0)</f>
        <v>0</v>
      </c>
      <c r="BC13" s="181">
        <f>IF(AND(CALCULO!AS12&lt;&gt;"", CALCULO!AS12&lt;0), CALCULO!AS12 * -1, 0)</f>
        <v>0</v>
      </c>
      <c r="BG13" s="146">
        <f>IF(AND(CALCULO!AW12&lt;&gt;"", CALCULO!AW12&lt;0), CALCULO!WP12 * -1, 0)</f>
        <v>0</v>
      </c>
      <c r="BH13">
        <f>IF(AND(CALCULO!AX12&lt;&gt;"", CALCULO!AX12&lt;0), CALCULO!AX12 * -1, 0)</f>
        <v>0</v>
      </c>
    </row>
    <row r="14" spans="1:60" ht="15.75" thickBot="1" x14ac:dyDescent="0.3">
      <c r="A14" s="376"/>
      <c r="B14" s="211"/>
      <c r="C14" s="424"/>
      <c r="D14" s="257" t="s">
        <v>42</v>
      </c>
      <c r="E14" s="229">
        <f t="shared" si="1"/>
        <v>2</v>
      </c>
      <c r="F14" s="213">
        <f>IF(AND(CALCULO!D14&lt;&gt;"", CALCULO!D14&lt;0), CALCULO!D14 * -1, "")</f>
        <v>1</v>
      </c>
      <c r="G14" s="221" t="str">
        <f>IF(AND(CALCULO!E14&lt;&gt;"", CALCULO!E14&lt;0), CALCULO!E14 * -1, "")</f>
        <v/>
      </c>
      <c r="H14" s="262">
        <f>IF(AND(CALCULO!F14&lt;&gt;"", CALCULO!F14&lt;0), CALCULO!F14 * -1, 0)</f>
        <v>0</v>
      </c>
      <c r="I14" s="233">
        <f>IF(AND(CALCULO!G14&lt;&gt;"", CALCULO!G14&lt;0), CALCULO!G14 * -1, 0)</f>
        <v>0</v>
      </c>
      <c r="J14" s="213">
        <f>IF(AND(CALCULO!H14&lt;&gt;"", CALCULO!H14&lt;0), CALCULO!H14 * -1, 0)</f>
        <v>0</v>
      </c>
      <c r="K14" s="213">
        <f>IF(AND(CALCULO!I14&lt;&gt;"", CALCULO!I14&lt;0), CALCULO!I14 * -1, 0)</f>
        <v>0</v>
      </c>
      <c r="L14" s="213">
        <f>IF(AND(CALCULO!J14&lt;&gt;"", CALCULO!J14&lt;0), CALCULO!J14 * -1, 0)</f>
        <v>0</v>
      </c>
      <c r="M14" s="213">
        <f>IF(AND(CALCULO!K14&lt;&gt;"", CALCULO!K14&lt;0), CALCULO!K14 * -1, 0)</f>
        <v>0</v>
      </c>
      <c r="N14" s="213">
        <f>IF(AND(CALCULO!L14&lt;&gt;"", CALCULO!L14&lt;0), CALCULO!L14 * -1, 0)</f>
        <v>0</v>
      </c>
      <c r="O14" s="213">
        <f>IF(AND(CALCULO!M14&lt;&gt;"", CALCULO!M14&lt;0), CALCULO!M14 * -1, 0)</f>
        <v>0</v>
      </c>
      <c r="P14" s="213">
        <f>IF(AND(CALCULO!N14&lt;&gt;"", CALCULO!N14&lt;0), CALCULO!N14 * -1, 0)</f>
        <v>0</v>
      </c>
      <c r="Q14" s="213">
        <f>IF(AND(CALCULO!O14&lt;&gt;"", CALCULO!O14&lt;0), CALCULO!O14 * -1, 0)</f>
        <v>0</v>
      </c>
      <c r="R14" s="213">
        <f>IF(AND(CALCULO!P14&lt;&gt;"", CALCULO!P14&lt;0), CALCULO!P14 * -1, 0)</f>
        <v>0</v>
      </c>
      <c r="S14" s="213">
        <f>IF(AND(CALCULO!Q14&lt;&gt;"", CALCULO!Q14&lt;0), CALCULO!Q14 * -1, 0)</f>
        <v>0</v>
      </c>
      <c r="T14" s="213">
        <f>IF(AND(CALCULO!R14&lt;&gt;"", CALCULO!R14&lt;0), CALCULO!R14 * -1, 0)</f>
        <v>0</v>
      </c>
      <c r="U14" s="213">
        <f>IF(AND(CALCULO!S14&lt;&gt;"", CALCULO!S14&lt;0), CALCULO!S14 * -1, 0)</f>
        <v>0</v>
      </c>
      <c r="V14" s="213">
        <f>IF(AND(CALCULO!T14&lt;&gt;"", CALCULO!T14&lt;0), CALCULO!T14 * -1, 0)</f>
        <v>1</v>
      </c>
      <c r="W14" s="213">
        <f>IF(AND(CALCULO!U14&lt;&gt;"", CALCULO!U14&lt;0), CALCULO!U14 * -1, 0)</f>
        <v>0</v>
      </c>
      <c r="X14" s="213">
        <f>IF(AND(CALCULO!V14&lt;&gt;"", CALCULO!V14&lt;0), CALCULO!V14 * -1, 0)</f>
        <v>0</v>
      </c>
      <c r="Y14" s="213">
        <f>IF(AND(CALCULO!W14&lt;&gt;"", CALCULO!W14&lt;0), CALCULO!W14 * -1, 0)</f>
        <v>0</v>
      </c>
      <c r="Z14" s="213">
        <f>IF(AND(CALCULO!X14&lt;&gt;"", CALCULO!X14&lt;0), CALCULO!X14 * -1, 0)</f>
        <v>0</v>
      </c>
      <c r="AA14" s="213">
        <f>IF(AND(CALCULO!Y14&lt;&gt;"", CALCULO!Y14&lt;0), CALCULO!Y14 * -1, 0)</f>
        <v>0</v>
      </c>
      <c r="AB14" s="213">
        <f>IF(AND(CALCULO!Z14&lt;&gt;"", CALCULO!Z14&lt;0), CALCULO!Z14 * -1, 0)</f>
        <v>0</v>
      </c>
      <c r="AC14" s="213">
        <f>IF(AND(CALCULO!AA14&lt;&gt;"", CALCULO!AA14&lt;0), CALCULO!AA14 * -1, 0)</f>
        <v>0</v>
      </c>
      <c r="AD14" s="213">
        <f>IF(AND(CALCULO!AB14&lt;&gt;"", CALCULO!AB14&lt;0), CALCULO!AB14 * -1, 0)</f>
        <v>0</v>
      </c>
      <c r="AE14" s="213">
        <f>IF(AND(CALCULO!AC14&lt;&gt;"", CALCULO!AC14&lt;0), CALCULO!AC14 * -1, 0)</f>
        <v>0</v>
      </c>
      <c r="AF14" s="213">
        <f>IF(AND(CALCULO!AD14&lt;&gt;"", CALCULO!AD14&lt;0), CALCULO!AD14 * -1, 0)</f>
        <v>1</v>
      </c>
      <c r="AG14" s="213">
        <f>IF(AND(CALCULO!AE14&lt;&gt;"", CALCULO!AE14&lt;0), CALCULO!AE14 * -1, 0)</f>
        <v>0</v>
      </c>
      <c r="AH14" s="213">
        <f>IF(AND(CALCULO!AF14&lt;&gt;"", CALCULO!AF14&lt;0), CALCULO!AF14 * -1, 0)</f>
        <v>0</v>
      </c>
      <c r="AI14" s="213">
        <f>IF(AND(CALCULO!AG14&lt;&gt;"", CALCULO!AG14&lt;0), CALCULO!AG14 * -1, 0)</f>
        <v>0</v>
      </c>
      <c r="AJ14" s="213">
        <f>IF(AND(CALCULO!AH14&lt;&gt;"", CALCULO!AH14&lt;0), CALCULO!AH14 * -1, 0)</f>
        <v>0</v>
      </c>
      <c r="AK14" s="213">
        <f>IF(AND(CALCULO!AI14&lt;&gt;"", CALCULO!AI14&lt;0), CALCULO!AI14 * -1, 0)</f>
        <v>0</v>
      </c>
      <c r="AL14" s="213">
        <f>IF(AND(CALCULO!AJ14&lt;&gt;"", CALCULO!AJ14&lt;0), CALCULO!AJ14 * -1, 0)</f>
        <v>0</v>
      </c>
      <c r="AM14" s="213">
        <f>IF(AND(CALCULO!AK14&lt;&gt;"", CALCULO!AK14&lt;0), CALCULO!AK14 * -1, 0)</f>
        <v>0</v>
      </c>
      <c r="AN14" s="213">
        <f>IF(AND(CALCULO!AL14&lt;&gt;"", CALCULO!AL14&lt;0), CALCULO!AL14 * -1, 0)</f>
        <v>0</v>
      </c>
      <c r="AO14" s="288">
        <f>IF(AND(CALCULO!AM14&lt;&gt;"", CALCULO!AM14&lt;0), CALCULO!AM14 * -1, 0)</f>
        <v>0</v>
      </c>
      <c r="AP14" s="321">
        <f>+E14-(ALTAS!C14+AQ14+AR14)</f>
        <v>2</v>
      </c>
      <c r="AQ14" s="321">
        <f>+ALTAS!D14</f>
        <v>0</v>
      </c>
      <c r="AR14" s="321">
        <f>+ALTAS!E14</f>
        <v>0</v>
      </c>
      <c r="AS14" s="291">
        <f>IF(AND(CALCULO!AN14&lt;&gt;"", CALCULO!AN14&lt;0), CALCULO!AN14 * -1, 0)</f>
        <v>0</v>
      </c>
      <c r="AT14" s="213">
        <f>IF(AND(CALCULO!AO14&lt;&gt;"", CALCULO!AO14&lt;0), CALCULO!AO14 * -1, 0)</f>
        <v>2</v>
      </c>
      <c r="AU14" s="213">
        <f>IF(AND(CALCULO!AP14&lt;&gt;"", CALCULO!AP14&lt;0), CALCULO!AP14 * -1, 0)</f>
        <v>0</v>
      </c>
      <c r="AV14" s="213">
        <f>IF(AND(CALCULO!AQ14&lt;&gt;"", CALCULO!AQ14&lt;0), CALCULO!AQ14 * -1, 0)</f>
        <v>0</v>
      </c>
      <c r="AW14" s="207">
        <f>IF(AND(CALCULO!AT14&lt;&gt;"", CALCULO!AT14&lt;0), CALCULO!AT14 * -1, 0)</f>
        <v>0</v>
      </c>
      <c r="AX14" s="207">
        <f>IF(AND(CALCULO!AU14&lt;&gt;"", CALCULO!AU14&lt;0), CALCULO!AU14 * -1, 0)</f>
        <v>0</v>
      </c>
      <c r="AY14">
        <f t="shared" si="2"/>
        <v>0</v>
      </c>
      <c r="AZ14" s="146">
        <f t="shared" si="3"/>
        <v>0</v>
      </c>
      <c r="BB14" s="181">
        <f>IF(AND(CALCULO!AR13&lt;&gt;"", CALCULO!AR13&lt;0), CALCULO!AR13 * -1, 0)</f>
        <v>0</v>
      </c>
      <c r="BC14" s="181">
        <f>IF(AND(CALCULO!AS13&lt;&gt;"", CALCULO!AS13&lt;0), CALCULO!AS13 * -1, 0)</f>
        <v>0</v>
      </c>
      <c r="BG14" s="146">
        <f>IF(AND(CALCULO!AW13&lt;&gt;"", CALCULO!AW13&lt;0), CALCULO!WP13 * -1, 0)</f>
        <v>0</v>
      </c>
      <c r="BH14">
        <f>IF(AND(CALCULO!AX13&lt;&gt;"", CALCULO!AX13&lt;0), CALCULO!AX13 * -1, 0)</f>
        <v>0</v>
      </c>
    </row>
    <row r="15" spans="1:60" ht="15.75" thickBot="1" x14ac:dyDescent="0.3">
      <c r="A15" s="214"/>
      <c r="B15" s="215"/>
      <c r="C15" s="425" t="s">
        <v>43</v>
      </c>
      <c r="D15" s="426"/>
      <c r="E15" s="270">
        <f t="shared" si="1"/>
        <v>69</v>
      </c>
      <c r="F15" s="217">
        <f>IF(AND(CALCULO!D15&lt;&gt;"", CALCULO!D15&lt;0), CALCULO!D15 * -1, "")</f>
        <v>19</v>
      </c>
      <c r="G15" s="271" t="str">
        <f>IF(AND(CALCULO!E15&lt;&gt;"", CALCULO!E15&lt;0), CALCULO!E15 * -1, "")</f>
        <v/>
      </c>
      <c r="H15" s="263">
        <f>IF(AND(CALCULO!F15&lt;&gt;"", CALCULO!F15&lt;0), CALCULO!F15 * -1, 0)</f>
        <v>0</v>
      </c>
      <c r="I15" s="217">
        <f>IF(AND(CALCULO!G15&lt;&gt;"", CALCULO!G15&lt;0), CALCULO!G15 * -1, 0)</f>
        <v>0</v>
      </c>
      <c r="J15" s="217">
        <f>IF(AND(CALCULO!H15&lt;&gt;"", CALCULO!H15&lt;0), CALCULO!H15 * -1, 0)</f>
        <v>0</v>
      </c>
      <c r="K15" s="217">
        <f>IF(AND(CALCULO!I15&lt;&gt;"", CALCULO!I15&lt;0), CALCULO!I15 * -1, 0)</f>
        <v>1</v>
      </c>
      <c r="L15" s="217">
        <f>IF(AND(CALCULO!J15&lt;&gt;"", CALCULO!J15&lt;0), CALCULO!J15 * -1, 0)</f>
        <v>4</v>
      </c>
      <c r="M15" s="217">
        <f>IF(AND(CALCULO!K15&lt;&gt;"", CALCULO!K15&lt;0), CALCULO!K15 * -1, 0)</f>
        <v>2</v>
      </c>
      <c r="N15" s="217">
        <f>IF(AND(CALCULO!L15&lt;&gt;"", CALCULO!L15&lt;0), CALCULO!L15 * -1, 0)</f>
        <v>4</v>
      </c>
      <c r="O15" s="217">
        <f>IF(AND(CALCULO!M15&lt;&gt;"", CALCULO!M15&lt;0), CALCULO!M15 * -1, 0)</f>
        <v>0</v>
      </c>
      <c r="P15" s="217">
        <f>IF(AND(CALCULO!N15&lt;&gt;"", CALCULO!N15&lt;0), CALCULO!N15 * -1, 0)</f>
        <v>0</v>
      </c>
      <c r="Q15" s="217">
        <f>IF(AND(CALCULO!O15&lt;&gt;"", CALCULO!O15&lt;0), CALCULO!O15 * -1, 0)</f>
        <v>11</v>
      </c>
      <c r="R15" s="217">
        <f>IF(AND(CALCULO!P15&lt;&gt;"", CALCULO!P15&lt;0), CALCULO!P15 * -1, 0)</f>
        <v>3</v>
      </c>
      <c r="S15" s="217">
        <f>IF(AND(CALCULO!Q15&lt;&gt;"", CALCULO!Q15&lt;0), CALCULO!Q15 * -1, 0)</f>
        <v>0</v>
      </c>
      <c r="T15" s="217">
        <f>IF(AND(CALCULO!R15&lt;&gt;"", CALCULO!R15&lt;0), CALCULO!R15 * -1, 0)</f>
        <v>2</v>
      </c>
      <c r="U15" s="217">
        <f>IF(AND(CALCULO!S15&lt;&gt;"", CALCULO!S15&lt;0), CALCULO!S15 * -1, 0)</f>
        <v>3</v>
      </c>
      <c r="V15" s="217">
        <f>IF(AND(CALCULO!T15&lt;&gt;"", CALCULO!T15&lt;0), CALCULO!T15 * -1, 0)</f>
        <v>2</v>
      </c>
      <c r="W15" s="217">
        <f>IF(AND(CALCULO!U15&lt;&gt;"", CALCULO!U15&lt;0), CALCULO!U15 * -1, 0)</f>
        <v>0</v>
      </c>
      <c r="X15" s="217">
        <f>IF(AND(CALCULO!V15&lt;&gt;"", CALCULO!V15&lt;0), CALCULO!V15 * -1, 0)</f>
        <v>0</v>
      </c>
      <c r="Y15" s="217">
        <f>IF(AND(CALCULO!W15&lt;&gt;"", CALCULO!W15&lt;0), CALCULO!W15 * -1, 0)</f>
        <v>8</v>
      </c>
      <c r="Z15" s="217">
        <f>IF(AND(CALCULO!X15&lt;&gt;"", CALCULO!X15&lt;0), CALCULO!X15 * -1, 0)</f>
        <v>3</v>
      </c>
      <c r="AA15" s="217">
        <f>IF(AND(CALCULO!Y15&lt;&gt;"", CALCULO!Y15&lt;0), CALCULO!Y15 * -1, 0)</f>
        <v>0</v>
      </c>
      <c r="AB15" s="217">
        <f>IF(AND(CALCULO!Z15&lt;&gt;"", CALCULO!Z15&lt;0), CALCULO!Z15 * -1, 0)</f>
        <v>5</v>
      </c>
      <c r="AC15" s="217">
        <f>IF(AND(CALCULO!AA15&lt;&gt;"", CALCULO!AA15&lt;0), CALCULO!AA15 * -1, 0)</f>
        <v>0</v>
      </c>
      <c r="AD15" s="217">
        <f>IF(AND(CALCULO!AB15&lt;&gt;"", CALCULO!AB15&lt;0), CALCULO!AB15 * -1, 0)</f>
        <v>0</v>
      </c>
      <c r="AE15" s="217">
        <f>IF(AND(CALCULO!AC15&lt;&gt;"", CALCULO!AC15&lt;0), CALCULO!AC15 * -1, 0)</f>
        <v>5</v>
      </c>
      <c r="AF15" s="217">
        <f>IF(AND(CALCULO!AD15&lt;&gt;"", CALCULO!AD15&lt;0), CALCULO!AD15 * -1, 0)</f>
        <v>13</v>
      </c>
      <c r="AG15" s="217">
        <f>IF(AND(CALCULO!AE15&lt;&gt;"", CALCULO!AE15&lt;0), CALCULO!AE15 * -1, 0)</f>
        <v>0</v>
      </c>
      <c r="AH15" s="217">
        <f>IF(AND(CALCULO!AF15&lt;&gt;"", CALCULO!AF15&lt;0), CALCULO!AF15 * -1, 0)</f>
        <v>0</v>
      </c>
      <c r="AI15" s="217">
        <f>IF(AND(CALCULO!AG15&lt;&gt;"", CALCULO!AG15&lt;0), CALCULO!AG15 * -1, 0)</f>
        <v>0</v>
      </c>
      <c r="AJ15" s="217">
        <f>IF(AND(CALCULO!AH15&lt;&gt;"", CALCULO!AH15&lt;0), CALCULO!AH15 * -1, 0)</f>
        <v>0</v>
      </c>
      <c r="AK15" s="217">
        <f>IF(AND(CALCULO!AI15&lt;&gt;"", CALCULO!AI15&lt;0), CALCULO!AI15 * -1, 0)</f>
        <v>1</v>
      </c>
      <c r="AL15" s="217">
        <f>IF(AND(CALCULO!AJ15&lt;&gt;"", CALCULO!AJ15&lt;0), CALCULO!AJ15 * -1, 0)</f>
        <v>0</v>
      </c>
      <c r="AM15" s="217">
        <f>IF(AND(CALCULO!AK15&lt;&gt;"", CALCULO!AK15&lt;0), CALCULO!AK15 * -1, 0)</f>
        <v>0</v>
      </c>
      <c r="AN15" s="217">
        <f>IF(AND(CALCULO!AL15&lt;&gt;"", CALCULO!AL15&lt;0), CALCULO!AL15 * -1, 0)</f>
        <v>0</v>
      </c>
      <c r="AO15" s="289">
        <f>IF(AND(CALCULO!AM15&lt;&gt;"", CALCULO!AM15&lt;0), CALCULO!AM15 * -1, 0)</f>
        <v>2</v>
      </c>
      <c r="AP15" s="321"/>
      <c r="AQ15" s="321">
        <f>+ALTAS!D15</f>
        <v>0</v>
      </c>
      <c r="AR15" s="321">
        <f>+ALTAS!E15</f>
        <v>0</v>
      </c>
      <c r="AS15" s="263">
        <f>IF(AND(CALCULO!AN15&lt;&gt;"", CALCULO!AN15&lt;0), CALCULO!AN15 * -1, 0)</f>
        <v>0</v>
      </c>
      <c r="AT15" s="217">
        <f>IF(AND(CALCULO!AO15&lt;&gt;"", CALCULO!AO15&lt;0), CALCULO!AO15 * -1, 0)</f>
        <v>0</v>
      </c>
      <c r="AU15" s="217">
        <f>IF(AND(CALCULO!AP15&lt;&gt;"", CALCULO!AP15&lt;0), CALCULO!AP15 * -1, 0)</f>
        <v>7</v>
      </c>
      <c r="AV15" s="217">
        <f>IF(AND(CALCULO!AQ15&lt;&gt;"", CALCULO!AQ15&lt;0), CALCULO!AQ15 * -1, 0)</f>
        <v>0</v>
      </c>
      <c r="AW15" s="165">
        <f>IF(AND(CALCULO!AT15&lt;&gt;"", CALCULO!AT15&lt;0), CALCULO!AT15 * -1, 0)</f>
        <v>2</v>
      </c>
      <c r="AX15" s="165">
        <f>IF(AND(CALCULO!AU15&lt;&gt;"", CALCULO!AU15&lt;0), CALCULO!AU15 * -1, 0)</f>
        <v>6</v>
      </c>
      <c r="AY15">
        <f t="shared" si="2"/>
        <v>3</v>
      </c>
      <c r="AZ15" s="146">
        <f t="shared" si="3"/>
        <v>2</v>
      </c>
      <c r="BB15" s="181">
        <f>IF(AND(CALCULO!AR14&lt;&gt;"", CALCULO!AR14&lt;0), CALCULO!AR14 * -1, 0)</f>
        <v>0</v>
      </c>
      <c r="BC15" s="181">
        <f>IF(AND(CALCULO!AS14&lt;&gt;"", CALCULO!AS14&lt;0), CALCULO!AS14 * -1, 0)</f>
        <v>0</v>
      </c>
      <c r="BG15" s="146">
        <f>IF(AND(CALCULO!AW14&lt;&gt;"", CALCULO!AW14&lt;0), CALCULO!WP14 * -1, 0)</f>
        <v>0</v>
      </c>
      <c r="BH15">
        <f>IF(AND(CALCULO!AX14&lt;&gt;"", CALCULO!AX14&lt;0), CALCULO!AX14 * -1, 0)</f>
        <v>0</v>
      </c>
    </row>
    <row r="16" spans="1:60" ht="21" x14ac:dyDescent="0.25">
      <c r="A16" s="374"/>
      <c r="B16" s="208"/>
      <c r="C16" s="439" t="s">
        <v>44</v>
      </c>
      <c r="D16" s="255" t="s">
        <v>45</v>
      </c>
      <c r="E16" s="227">
        <f t="shared" si="1"/>
        <v>3</v>
      </c>
      <c r="F16" s="210" t="str">
        <f>IF(AND(CALCULO!D16&lt;&gt;"", CALCULO!D16&lt;0), CALCULO!D16 * -1, "")</f>
        <v/>
      </c>
      <c r="G16" s="218" t="str">
        <f>IF(AND(CALCULO!E16&lt;&gt;"", CALCULO!E16&lt;0), CALCULO!E16 * -1, "")</f>
        <v/>
      </c>
      <c r="H16" s="260">
        <f>IF(AND(CALCULO!F16&lt;&gt;"", CALCULO!F16&lt;0), CALCULO!F16 * -1, 0)</f>
        <v>0</v>
      </c>
      <c r="I16" s="210">
        <f>IF(AND(CALCULO!G16&lt;&gt;"", CALCULO!G16&lt;0), CALCULO!G16 * -1, 0)</f>
        <v>0</v>
      </c>
      <c r="J16" s="210">
        <f>IF(AND(CALCULO!H16&lt;&gt;"", CALCULO!H16&lt;0), CALCULO!H16 * -1, 0)</f>
        <v>0</v>
      </c>
      <c r="K16" s="210">
        <f>IF(AND(CALCULO!I16&lt;&gt;"", CALCULO!I16&lt;0), CALCULO!I16 * -1, 0)</f>
        <v>0</v>
      </c>
      <c r="L16" s="210">
        <f>IF(AND(CALCULO!J16&lt;&gt;"", CALCULO!J16&lt;0), CALCULO!J16 * -1, 0)</f>
        <v>0</v>
      </c>
      <c r="M16" s="210">
        <f>IF(AND(CALCULO!K16&lt;&gt;"", CALCULO!K16&lt;0), CALCULO!K16 * -1, 0)</f>
        <v>0</v>
      </c>
      <c r="N16" s="210">
        <f>IF(AND(CALCULO!L16&lt;&gt;"", CALCULO!L16&lt;0), CALCULO!L16 * -1, 0)</f>
        <v>0</v>
      </c>
      <c r="O16" s="210">
        <f>IF(AND(CALCULO!M16&lt;&gt;"", CALCULO!M16&lt;0), CALCULO!M16 * -1, 0)</f>
        <v>0</v>
      </c>
      <c r="P16" s="210">
        <f>IF(AND(CALCULO!N16&lt;&gt;"", CALCULO!N16&lt;0), CALCULO!N16 * -1, 0)</f>
        <v>0</v>
      </c>
      <c r="Q16" s="210">
        <f>IF(AND(CALCULO!O16&lt;&gt;"", CALCULO!O16&lt;0), CALCULO!O16 * -1, 0)</f>
        <v>0</v>
      </c>
      <c r="R16" s="210">
        <f>IF(AND(CALCULO!P16&lt;&gt;"", CALCULO!P16&lt;0), CALCULO!P16 * -1, 0)</f>
        <v>0</v>
      </c>
      <c r="S16" s="210">
        <f>IF(AND(CALCULO!Q16&lt;&gt;"", CALCULO!Q16&lt;0), CALCULO!Q16 * -1, 0)</f>
        <v>0</v>
      </c>
      <c r="T16" s="210">
        <f>IF(AND(CALCULO!R16&lt;&gt;"", CALCULO!R16&lt;0), CALCULO!R16 * -1, 0)</f>
        <v>0</v>
      </c>
      <c r="U16" s="210">
        <f>IF(AND(CALCULO!S16&lt;&gt;"", CALCULO!S16&lt;0), CALCULO!S16 * -1, 0)</f>
        <v>0</v>
      </c>
      <c r="V16" s="210">
        <f>IF(AND(CALCULO!T16&lt;&gt;"", CALCULO!T16&lt;0), CALCULO!T16 * -1, 0)</f>
        <v>0</v>
      </c>
      <c r="W16" s="210">
        <f>IF(AND(CALCULO!U16&lt;&gt;"", CALCULO!U16&lt;0), CALCULO!U16 * -1, 0)</f>
        <v>0</v>
      </c>
      <c r="X16" s="210">
        <f>IF(AND(CALCULO!V16&lt;&gt;"", CALCULO!V16&lt;0), CALCULO!V16 * -1, 0)</f>
        <v>0</v>
      </c>
      <c r="Y16" s="210">
        <f>IF(AND(CALCULO!W16&lt;&gt;"", CALCULO!W16&lt;0), CALCULO!W16 * -1, 0)</f>
        <v>0</v>
      </c>
      <c r="Z16" s="210">
        <f>IF(AND(CALCULO!X16&lt;&gt;"", CALCULO!X16&lt;0), CALCULO!X16 * -1, 0)</f>
        <v>0</v>
      </c>
      <c r="AA16" s="210">
        <f>IF(AND(CALCULO!Y16&lt;&gt;"", CALCULO!Y16&lt;0), CALCULO!Y16 * -1, 0)</f>
        <v>0</v>
      </c>
      <c r="AB16" s="210">
        <f>IF(AND(CALCULO!Z16&lt;&gt;"", CALCULO!Z16&lt;0), CALCULO!Z16 * -1, 0)</f>
        <v>0</v>
      </c>
      <c r="AC16" s="210">
        <f>IF(AND(CALCULO!AA16&lt;&gt;"", CALCULO!AA16&lt;0), CALCULO!AA16 * -1, 0)</f>
        <v>0</v>
      </c>
      <c r="AD16" s="210">
        <f>IF(AND(CALCULO!AB16&lt;&gt;"", CALCULO!AB16&lt;0), CALCULO!AB16 * -1, 0)</f>
        <v>0</v>
      </c>
      <c r="AE16" s="210">
        <f>IF(AND(CALCULO!AC16&lt;&gt;"", CALCULO!AC16&lt;0), CALCULO!AC16 * -1, 0)</f>
        <v>2</v>
      </c>
      <c r="AF16" s="210">
        <f>IF(AND(CALCULO!AD16&lt;&gt;"", CALCULO!AD16&lt;0), CALCULO!AD16 * -1, 0)</f>
        <v>0</v>
      </c>
      <c r="AG16" s="210">
        <f>IF(AND(CALCULO!AE16&lt;&gt;"", CALCULO!AE16&lt;0), CALCULO!AE16 * -1, 0)</f>
        <v>0</v>
      </c>
      <c r="AH16" s="210">
        <f>IF(AND(CALCULO!AF16&lt;&gt;"", CALCULO!AF16&lt;0), CALCULO!AF16 * -1, 0)</f>
        <v>0</v>
      </c>
      <c r="AI16" s="210">
        <f>IF(AND(CALCULO!AG16&lt;&gt;"", CALCULO!AG16&lt;0), CALCULO!AG16 * -1, 0)</f>
        <v>0</v>
      </c>
      <c r="AJ16" s="210">
        <f>IF(AND(CALCULO!AH16&lt;&gt;"", CALCULO!AH16&lt;0), CALCULO!AH16 * -1, 0)</f>
        <v>0</v>
      </c>
      <c r="AK16" s="210">
        <f>IF(AND(CALCULO!AI16&lt;&gt;"", CALCULO!AI16&lt;0), CALCULO!AI16 * -1, 0)</f>
        <v>0</v>
      </c>
      <c r="AL16" s="210">
        <f>IF(AND(CALCULO!AJ16&lt;&gt;"", CALCULO!AJ16&lt;0), CALCULO!AJ16 * -1, 0)</f>
        <v>0</v>
      </c>
      <c r="AM16" s="210">
        <f>IF(AND(CALCULO!AK16&lt;&gt;"", CALCULO!AK16&lt;0), CALCULO!AK16 * -1, 0)</f>
        <v>0</v>
      </c>
      <c r="AN16" s="210">
        <f>IF(AND(CALCULO!AL16&lt;&gt;"", CALCULO!AL16&lt;0), CALCULO!AL16 * -1, 0)</f>
        <v>0</v>
      </c>
      <c r="AO16" s="287">
        <f>IF(AND(CALCULO!AM16&lt;&gt;"", CALCULO!AM16&lt;0), CALCULO!AM16 * -1, 0)</f>
        <v>1</v>
      </c>
      <c r="AP16" s="321">
        <f>IF(E16-(ALTAS!C16+AQ16+AR16)&gt;=0,+E16-(ALTAS!C16+AQ16+AR16),"NEGATIVO")</f>
        <v>0</v>
      </c>
      <c r="AQ16" s="321">
        <f>+ALTAS!D16</f>
        <v>0</v>
      </c>
      <c r="AR16" s="321">
        <f>+ALTAS!E16</f>
        <v>0</v>
      </c>
      <c r="AS16" s="260">
        <f>IF(AND(CALCULO!AN16&lt;&gt;"", CALCULO!AN16&lt;0), CALCULO!AN16 * -1, 0)</f>
        <v>1</v>
      </c>
      <c r="AT16" s="210">
        <f>IF(AND(CALCULO!AO16&lt;&gt;"", CALCULO!AO16&lt;0), CALCULO!AO16 * -1, 0)</f>
        <v>0</v>
      </c>
      <c r="AU16" s="210">
        <f>IF(AND(CALCULO!AP16&lt;&gt;"", CALCULO!AP16&lt;0), CALCULO!AP16 * -1, 0)</f>
        <v>0</v>
      </c>
      <c r="AV16" s="210">
        <f>IF(AND(CALCULO!AQ16&lt;&gt;"", CALCULO!AQ16&lt;0), CALCULO!AQ16 * -1, 0)</f>
        <v>0</v>
      </c>
      <c r="AW16" s="210">
        <f>IF(AND(CALCULO!AT16&lt;&gt;"", CALCULO!AT16&lt;0), CALCULO!AT16 * -1, 0)</f>
        <v>0</v>
      </c>
      <c r="AX16" s="210">
        <f>IF(AND(CALCULO!AU16&lt;&gt;"", CALCULO!AU16&lt;0), CALCULO!AU16 * -1, 0)</f>
        <v>0</v>
      </c>
      <c r="AY16" s="209">
        <f t="shared" si="2"/>
        <v>0</v>
      </c>
      <c r="AZ16" s="146">
        <f t="shared" si="3"/>
        <v>0</v>
      </c>
      <c r="BB16" s="181">
        <f>IF(AND(CALCULO!AR15&lt;&gt;"", CALCULO!AR15&lt;0), CALCULO!AR15 * -1, 0)</f>
        <v>2</v>
      </c>
      <c r="BC16" s="181">
        <f>IF(AND(CALCULO!AS15&lt;&gt;"", CALCULO!AS15&lt;0), CALCULO!AS15 * -1, 0)</f>
        <v>1</v>
      </c>
      <c r="BG16" s="146">
        <f>IF(AND(CALCULO!AW15&lt;&gt;"", CALCULO!AW15&lt;0), CALCULO!WP15 * -1, 0)</f>
        <v>0</v>
      </c>
      <c r="BH16">
        <f>IF(AND(CALCULO!AX15&lt;&gt;"", CALCULO!AX15&lt;0), CALCULO!AX15 * -1, 0)</f>
        <v>2</v>
      </c>
    </row>
    <row r="17" spans="1:60" ht="21" x14ac:dyDescent="0.25">
      <c r="A17" s="375"/>
      <c r="B17" s="173"/>
      <c r="C17" s="440"/>
      <c r="D17" s="243" t="s">
        <v>46</v>
      </c>
      <c r="E17" s="228">
        <f t="shared" si="1"/>
        <v>3</v>
      </c>
      <c r="F17" s="154" t="str">
        <f>IF(AND(CALCULO!D17&lt;&gt;"", CALCULO!D17&lt;0), CALCULO!D17 * -1, "")</f>
        <v/>
      </c>
      <c r="G17" s="219" t="str">
        <f>IF(AND(CALCULO!E17&lt;&gt;"", CALCULO!E17&lt;0), CALCULO!E17 * -1, "")</f>
        <v/>
      </c>
      <c r="H17" s="259">
        <f>IF(AND(CALCULO!F17&lt;&gt;"", CALCULO!F17&lt;0), CALCULO!F17 * -1, 0)</f>
        <v>0</v>
      </c>
      <c r="I17" s="154">
        <f>IF(AND(CALCULO!G17&lt;&gt;"", CALCULO!G17&lt;0), CALCULO!G17 * -1, 0)</f>
        <v>0</v>
      </c>
      <c r="J17" s="154">
        <f>IF(AND(CALCULO!H17&lt;&gt;"", CALCULO!H17&lt;0), CALCULO!H17 * -1, 0)</f>
        <v>0</v>
      </c>
      <c r="K17" s="154">
        <f>IF(AND(CALCULO!I17&lt;&gt;"", CALCULO!I17&lt;0), CALCULO!I17 * -1, 0)</f>
        <v>0</v>
      </c>
      <c r="L17" s="154">
        <f>IF(AND(CALCULO!J17&lt;&gt;"", CALCULO!J17&lt;0), CALCULO!J17 * -1, 0)</f>
        <v>0</v>
      </c>
      <c r="M17" s="154">
        <f>IF(AND(CALCULO!K17&lt;&gt;"", CALCULO!K17&lt;0), CALCULO!K17 * -1, 0)</f>
        <v>0</v>
      </c>
      <c r="N17" s="154">
        <f>IF(AND(CALCULO!L17&lt;&gt;"", CALCULO!L17&lt;0), CALCULO!L17 * -1, 0)</f>
        <v>0</v>
      </c>
      <c r="O17" s="154">
        <f>IF(AND(CALCULO!M17&lt;&gt;"", CALCULO!M17&lt;0), CALCULO!M17 * -1, 0)</f>
        <v>0</v>
      </c>
      <c r="P17" s="154">
        <f>IF(AND(CALCULO!N17&lt;&gt;"", CALCULO!N17&lt;0), CALCULO!N17 * -1, 0)</f>
        <v>0</v>
      </c>
      <c r="Q17" s="154">
        <f>IF(AND(CALCULO!O17&lt;&gt;"", CALCULO!O17&lt;0), CALCULO!O17 * -1, 0)</f>
        <v>0</v>
      </c>
      <c r="R17" s="154">
        <f>IF(AND(CALCULO!P17&lt;&gt;"", CALCULO!P17&lt;0), CALCULO!P17 * -1, 0)</f>
        <v>1</v>
      </c>
      <c r="S17" s="154">
        <f>IF(AND(CALCULO!Q17&lt;&gt;"", CALCULO!Q17&lt;0), CALCULO!Q17 * -1, 0)</f>
        <v>0</v>
      </c>
      <c r="T17" s="154">
        <f>IF(AND(CALCULO!R17&lt;&gt;"", CALCULO!R17&lt;0), CALCULO!R17 * -1, 0)</f>
        <v>0</v>
      </c>
      <c r="U17" s="154">
        <f>IF(AND(CALCULO!S17&lt;&gt;"", CALCULO!S17&lt;0), CALCULO!S17 * -1, 0)</f>
        <v>0</v>
      </c>
      <c r="V17" s="154">
        <f>IF(AND(CALCULO!T17&lt;&gt;"", CALCULO!T17&lt;0), CALCULO!T17 * -1, 0)</f>
        <v>0</v>
      </c>
      <c r="W17" s="154">
        <f>IF(AND(CALCULO!U17&lt;&gt;"", CALCULO!U17&lt;0), CALCULO!U17 * -1, 0)</f>
        <v>0</v>
      </c>
      <c r="X17" s="154">
        <f>IF(AND(CALCULO!V17&lt;&gt;"", CALCULO!V17&lt;0), CALCULO!V17 * -1, 0)</f>
        <v>1</v>
      </c>
      <c r="Y17" s="154">
        <f>IF(AND(CALCULO!W17&lt;&gt;"", CALCULO!W17&lt;0), CALCULO!W17 * -1, 0)</f>
        <v>0</v>
      </c>
      <c r="Z17" s="154">
        <f>IF(AND(CALCULO!X17&lt;&gt;"", CALCULO!X17&lt;0), CALCULO!X17 * -1, 0)</f>
        <v>0</v>
      </c>
      <c r="AA17" s="154">
        <f>IF(AND(CALCULO!Y17&lt;&gt;"", CALCULO!Y17&lt;0), CALCULO!Y17 * -1, 0)</f>
        <v>0</v>
      </c>
      <c r="AB17" s="154">
        <f>IF(AND(CALCULO!Z17&lt;&gt;"", CALCULO!Z17&lt;0), CALCULO!Z17 * -1, 0)</f>
        <v>0</v>
      </c>
      <c r="AC17" s="154">
        <f>IF(AND(CALCULO!AA17&lt;&gt;"", CALCULO!AA17&lt;0), CALCULO!AA17 * -1, 0)</f>
        <v>0</v>
      </c>
      <c r="AD17" s="154">
        <f>IF(AND(CALCULO!AB17&lt;&gt;"", CALCULO!AB17&lt;0), CALCULO!AB17 * -1, 0)</f>
        <v>0</v>
      </c>
      <c r="AE17" s="154">
        <f>IF(AND(CALCULO!AC17&lt;&gt;"", CALCULO!AC17&lt;0), CALCULO!AC17 * -1, 0)</f>
        <v>0</v>
      </c>
      <c r="AF17" s="154">
        <f>IF(AND(CALCULO!AD17&lt;&gt;"", CALCULO!AD17&lt;0), CALCULO!AD17 * -1, 0)</f>
        <v>0</v>
      </c>
      <c r="AG17" s="154">
        <f>IF(AND(CALCULO!AE17&lt;&gt;"", CALCULO!AE17&lt;0), CALCULO!AE17 * -1, 0)</f>
        <v>0</v>
      </c>
      <c r="AH17" s="154">
        <f>IF(AND(CALCULO!AF17&lt;&gt;"", CALCULO!AF17&lt;0), CALCULO!AF17 * -1, 0)</f>
        <v>0</v>
      </c>
      <c r="AI17" s="154">
        <f>IF(AND(CALCULO!AG17&lt;&gt;"", CALCULO!AG17&lt;0), CALCULO!AG17 * -1, 0)</f>
        <v>0</v>
      </c>
      <c r="AJ17" s="154">
        <f>IF(AND(CALCULO!AH17&lt;&gt;"", CALCULO!AH17&lt;0), CALCULO!AH17 * -1, 0)</f>
        <v>0</v>
      </c>
      <c r="AK17" s="154">
        <f>IF(AND(CALCULO!AI17&lt;&gt;"", CALCULO!AI17&lt;0), CALCULO!AI17 * -1, 0)</f>
        <v>1</v>
      </c>
      <c r="AL17" s="154">
        <f>IF(AND(CALCULO!AJ17&lt;&gt;"", CALCULO!AJ17&lt;0), CALCULO!AJ17 * -1, 0)</f>
        <v>0</v>
      </c>
      <c r="AM17" s="154">
        <f>IF(AND(CALCULO!AK17&lt;&gt;"", CALCULO!AK17&lt;0), CALCULO!AK17 * -1, 0)</f>
        <v>0</v>
      </c>
      <c r="AN17" s="154">
        <f>IF(AND(CALCULO!AL17&lt;&gt;"", CALCULO!AL17&lt;0), CALCULO!AL17 * -1, 0)</f>
        <v>0</v>
      </c>
      <c r="AO17" s="163">
        <f>IF(AND(CALCULO!AM17&lt;&gt;"", CALCULO!AM17&lt;0), CALCULO!AM17 * -1, 0)</f>
        <v>0</v>
      </c>
      <c r="AP17" s="321">
        <f>IF(E17-(ALTAS!C17+AQ17+AR17)&gt;=0,+E17-(ALTAS!C17+AQ17+AR17),"NEGATIVO")</f>
        <v>0</v>
      </c>
      <c r="AQ17" s="321">
        <f>+ALTAS!D17</f>
        <v>0</v>
      </c>
      <c r="AR17" s="321">
        <f>+ALTAS!E17</f>
        <v>0</v>
      </c>
      <c r="AS17" s="259">
        <f>IF(AND(CALCULO!AN17&lt;&gt;"", CALCULO!AN17&lt;0), CALCULO!AN17 * -1, 0)</f>
        <v>0</v>
      </c>
      <c r="AT17" s="154">
        <f>IF(AND(CALCULO!AO17&lt;&gt;"", CALCULO!AO17&lt;0), CALCULO!AO17 * -1, 0)</f>
        <v>0</v>
      </c>
      <c r="AU17" s="154">
        <f>IF(AND(CALCULO!AP17&lt;&gt;"", CALCULO!AP17&lt;0), CALCULO!AP17 * -1, 0)</f>
        <v>0</v>
      </c>
      <c r="AV17" s="154">
        <f>IF(AND(CALCULO!AQ17&lt;&gt;"", CALCULO!AQ17&lt;0), CALCULO!AQ17 * -1, 0)</f>
        <v>0</v>
      </c>
      <c r="AW17" s="154">
        <f>IF(AND(CALCULO!AT17&lt;&gt;"", CALCULO!AT17&lt;0), CALCULO!AT17 * -1, 0)</f>
        <v>0</v>
      </c>
      <c r="AX17" s="154">
        <f>IF(AND(CALCULO!AU17&lt;&gt;"", CALCULO!AU17&lt;0), CALCULO!AU17 * -1, 0)</f>
        <v>0</v>
      </c>
      <c r="AY17">
        <f t="shared" si="2"/>
        <v>0</v>
      </c>
      <c r="AZ17" s="146">
        <f t="shared" si="3"/>
        <v>0</v>
      </c>
      <c r="BB17" s="181">
        <f>IF(AND(CALCULO!AR16&lt;&gt;"", CALCULO!AR16&lt;0), CALCULO!AR16 * -1, 0)</f>
        <v>0</v>
      </c>
      <c r="BC17" s="181">
        <f>IF(AND(CALCULO!AS16&lt;&gt;"", CALCULO!AS16&lt;0), CALCULO!AS16 * -1, 0)</f>
        <v>0</v>
      </c>
      <c r="BG17" s="146">
        <f>IF(AND(CALCULO!AW16&lt;&gt;"", CALCULO!AW16&lt;0), CALCULO!WP16 * -1, 0)</f>
        <v>0</v>
      </c>
      <c r="BH17">
        <f>IF(AND(CALCULO!AX16&lt;&gt;"", CALCULO!AX16&lt;0), CALCULO!AX16 * -1, 0)</f>
        <v>0</v>
      </c>
    </row>
    <row r="18" spans="1:60" ht="21" x14ac:dyDescent="0.25">
      <c r="A18" s="375"/>
      <c r="B18" s="173"/>
      <c r="C18" s="440"/>
      <c r="D18" s="243" t="s">
        <v>47</v>
      </c>
      <c r="E18" s="228">
        <f t="shared" si="1"/>
        <v>3</v>
      </c>
      <c r="F18" s="154" t="str">
        <f>IF(AND(CALCULO!D18&lt;&gt;"", CALCULO!D18&lt;0), CALCULO!D18 * -1, "")</f>
        <v/>
      </c>
      <c r="G18" s="219" t="str">
        <f>IF(AND(CALCULO!E18&lt;&gt;"", CALCULO!E18&lt;0), CALCULO!E18 * -1, "")</f>
        <v/>
      </c>
      <c r="H18" s="259">
        <f>IF(AND(CALCULO!F18&lt;&gt;"", CALCULO!F18&lt;0), CALCULO!F18 * -1, 0)</f>
        <v>0</v>
      </c>
      <c r="I18" s="154">
        <f>IF(AND(CALCULO!G18&lt;&gt;"", CALCULO!G18&lt;0), CALCULO!G18 * -1, 0)</f>
        <v>0</v>
      </c>
      <c r="J18" s="154">
        <f>IF(AND(CALCULO!H18&lt;&gt;"", CALCULO!H18&lt;0), CALCULO!H18 * -1, 0)</f>
        <v>0</v>
      </c>
      <c r="K18" s="154">
        <f>IF(AND(CALCULO!I18&lt;&gt;"", CALCULO!I18&lt;0), CALCULO!I18 * -1, 0)</f>
        <v>0</v>
      </c>
      <c r="L18" s="154">
        <f>IF(AND(CALCULO!J18&lt;&gt;"", CALCULO!J18&lt;0), CALCULO!J18 * -1, 0)</f>
        <v>0</v>
      </c>
      <c r="M18" s="154">
        <f>IF(AND(CALCULO!K18&lt;&gt;"", CALCULO!K18&lt;0), CALCULO!K18 * -1, 0)</f>
        <v>0</v>
      </c>
      <c r="N18" s="154">
        <f>IF(AND(CALCULO!L18&lt;&gt;"", CALCULO!L18&lt;0), CALCULO!L18 * -1, 0)</f>
        <v>0</v>
      </c>
      <c r="O18" s="154">
        <f>IF(AND(CALCULO!M18&lt;&gt;"", CALCULO!M18&lt;0), CALCULO!M18 * -1, 0)</f>
        <v>0</v>
      </c>
      <c r="P18" s="154">
        <f>IF(AND(CALCULO!N18&lt;&gt;"", CALCULO!N18&lt;0), CALCULO!N18 * -1, 0)</f>
        <v>0</v>
      </c>
      <c r="Q18" s="154">
        <f>IF(AND(CALCULO!O18&lt;&gt;"", CALCULO!O18&lt;0), CALCULO!O18 * -1, 0)</f>
        <v>0</v>
      </c>
      <c r="R18" s="154">
        <f>IF(AND(CALCULO!P18&lt;&gt;"", CALCULO!P18&lt;0), CALCULO!P18 * -1, 0)</f>
        <v>0</v>
      </c>
      <c r="S18" s="154">
        <f>IF(AND(CALCULO!Q18&lt;&gt;"", CALCULO!Q18&lt;0), CALCULO!Q18 * -1, 0)</f>
        <v>0</v>
      </c>
      <c r="T18" s="154">
        <f>IF(AND(CALCULO!R18&lt;&gt;"", CALCULO!R18&lt;0), CALCULO!R18 * -1, 0)</f>
        <v>0</v>
      </c>
      <c r="U18" s="154">
        <f>IF(AND(CALCULO!S18&lt;&gt;"", CALCULO!S18&lt;0), CALCULO!S18 * -1, 0)</f>
        <v>0</v>
      </c>
      <c r="V18" s="154">
        <f>IF(AND(CALCULO!T18&lt;&gt;"", CALCULO!T18&lt;0), CALCULO!T18 * -1, 0)</f>
        <v>1</v>
      </c>
      <c r="W18" s="154">
        <f>IF(AND(CALCULO!U18&lt;&gt;"", CALCULO!U18&lt;0), CALCULO!U18 * -1, 0)</f>
        <v>0</v>
      </c>
      <c r="X18" s="154">
        <f>IF(AND(CALCULO!V18&lt;&gt;"", CALCULO!V18&lt;0), CALCULO!V18 * -1, 0)</f>
        <v>0</v>
      </c>
      <c r="Y18" s="154">
        <f>IF(AND(CALCULO!W18&lt;&gt;"", CALCULO!W18&lt;0), CALCULO!W18 * -1, 0)</f>
        <v>1</v>
      </c>
      <c r="Z18" s="154">
        <f>IF(AND(CALCULO!X18&lt;&gt;"", CALCULO!X18&lt;0), CALCULO!X18 * -1, 0)</f>
        <v>0</v>
      </c>
      <c r="AA18" s="154">
        <f>IF(AND(CALCULO!Y18&lt;&gt;"", CALCULO!Y18&lt;0), CALCULO!Y18 * -1, 0)</f>
        <v>0</v>
      </c>
      <c r="AB18" s="154">
        <f>IF(AND(CALCULO!Z18&lt;&gt;"", CALCULO!Z18&lt;0), CALCULO!Z18 * -1, 0)</f>
        <v>0</v>
      </c>
      <c r="AC18" s="154">
        <f>IF(AND(CALCULO!AA18&lt;&gt;"", CALCULO!AA18&lt;0), CALCULO!AA18 * -1, 0)</f>
        <v>0</v>
      </c>
      <c r="AD18" s="154">
        <f>IF(AND(CALCULO!AB18&lt;&gt;"", CALCULO!AB18&lt;0), CALCULO!AB18 * -1, 0)</f>
        <v>0</v>
      </c>
      <c r="AE18" s="154">
        <f>IF(AND(CALCULO!AC18&lt;&gt;"", CALCULO!AC18&lt;0), CALCULO!AC18 * -1, 0)</f>
        <v>0</v>
      </c>
      <c r="AF18" s="154">
        <f>IF(AND(CALCULO!AD18&lt;&gt;"", CALCULO!AD18&lt;0), CALCULO!AD18 * -1, 0)</f>
        <v>1</v>
      </c>
      <c r="AG18" s="154">
        <f>IF(AND(CALCULO!AE18&lt;&gt;"", CALCULO!AE18&lt;0), CALCULO!AE18 * -1, 0)</f>
        <v>0</v>
      </c>
      <c r="AH18" s="154">
        <f>IF(AND(CALCULO!AF18&lt;&gt;"", CALCULO!AF18&lt;0), CALCULO!AF18 * -1, 0)</f>
        <v>0</v>
      </c>
      <c r="AI18" s="154">
        <f>IF(AND(CALCULO!AG18&lt;&gt;"", CALCULO!AG18&lt;0), CALCULO!AG18 * -1, 0)</f>
        <v>0</v>
      </c>
      <c r="AJ18" s="154">
        <f>IF(AND(CALCULO!AH18&lt;&gt;"", CALCULO!AH18&lt;0), CALCULO!AH18 * -1, 0)</f>
        <v>0</v>
      </c>
      <c r="AK18" s="154">
        <f>IF(AND(CALCULO!AI18&lt;&gt;"", CALCULO!AI18&lt;0), CALCULO!AI18 * -1, 0)</f>
        <v>0</v>
      </c>
      <c r="AL18" s="154">
        <f>IF(AND(CALCULO!AJ18&lt;&gt;"", CALCULO!AJ18&lt;0), CALCULO!AJ18 * -1, 0)</f>
        <v>0</v>
      </c>
      <c r="AM18" s="154">
        <f>IF(AND(CALCULO!AK18&lt;&gt;"", CALCULO!AK18&lt;0), CALCULO!AK18 * -1, 0)</f>
        <v>0</v>
      </c>
      <c r="AN18" s="154">
        <f>IF(AND(CALCULO!AL18&lt;&gt;"", CALCULO!AL18&lt;0), CALCULO!AL18 * -1, 0)</f>
        <v>0</v>
      </c>
      <c r="AO18" s="163">
        <f>IF(AND(CALCULO!AM18&lt;&gt;"", CALCULO!AM18&lt;0), CALCULO!AM18 * -1, 0)</f>
        <v>0</v>
      </c>
      <c r="AP18" s="321">
        <f>IF(E18-(ALTAS!C18+AQ18+AR18)&gt;=0,+E18-(ALTAS!C18+AQ18+AR18),"NEGATIVO")</f>
        <v>1</v>
      </c>
      <c r="AQ18" s="321">
        <f>+ALTAS!D18</f>
        <v>0</v>
      </c>
      <c r="AR18" s="321">
        <f>+ALTAS!E18</f>
        <v>0</v>
      </c>
      <c r="AS18" s="259">
        <f>IF(AND(CALCULO!AN18&lt;&gt;"", CALCULO!AN18&lt;0), CALCULO!AN18 * -1, 0)</f>
        <v>0</v>
      </c>
      <c r="AT18" s="154">
        <f>IF(AND(CALCULO!AO18&lt;&gt;"", CALCULO!AO18&lt;0), CALCULO!AO18 * -1, 0)</f>
        <v>0</v>
      </c>
      <c r="AU18" s="154">
        <f>IF(AND(CALCULO!AP18&lt;&gt;"", CALCULO!AP18&lt;0), CALCULO!AP18 * -1, 0)</f>
        <v>0</v>
      </c>
      <c r="AV18" s="154">
        <f>IF(AND(CALCULO!AQ18&lt;&gt;"", CALCULO!AQ18&lt;0), CALCULO!AQ18 * -1, 0)</f>
        <v>0</v>
      </c>
      <c r="AW18" s="154">
        <f>IF(AND(CALCULO!AT18&lt;&gt;"", CALCULO!AT18&lt;0), CALCULO!AT18 * -1, 0)</f>
        <v>0</v>
      </c>
      <c r="AX18" s="154">
        <f>IF(AND(CALCULO!AU18&lt;&gt;"", CALCULO!AU18&lt;0), CALCULO!AU18 * -1, 0)</f>
        <v>0</v>
      </c>
      <c r="AY18">
        <f t="shared" si="2"/>
        <v>0</v>
      </c>
      <c r="AZ18" s="146">
        <f t="shared" si="3"/>
        <v>0</v>
      </c>
      <c r="BB18" s="181">
        <f>IF(AND(CALCULO!AR17&lt;&gt;"", CALCULO!AR17&lt;0), CALCULO!AR17 * -1, 0)</f>
        <v>0</v>
      </c>
      <c r="BC18" s="181">
        <f>IF(AND(CALCULO!AS17&lt;&gt;"", CALCULO!AS17&lt;0), CALCULO!AS17 * -1, 0)</f>
        <v>0</v>
      </c>
      <c r="BG18" s="146">
        <f>IF(AND(CALCULO!AW17&lt;&gt;"", CALCULO!AW17&lt;0), CALCULO!WP17 * -1, 0)</f>
        <v>0</v>
      </c>
      <c r="BH18">
        <f>IF(AND(CALCULO!AX17&lt;&gt;"", CALCULO!AX17&lt;0), CALCULO!AX17 * -1, 0)</f>
        <v>0</v>
      </c>
    </row>
    <row r="19" spans="1:60" ht="21" x14ac:dyDescent="0.25">
      <c r="A19" s="375"/>
      <c r="B19" s="174"/>
      <c r="C19" s="441"/>
      <c r="D19" s="243" t="s">
        <v>48</v>
      </c>
      <c r="E19" s="228">
        <f t="shared" si="1"/>
        <v>0</v>
      </c>
      <c r="F19" s="232" t="str">
        <f>IF(AND(CALCULO!D19&lt;&gt;"", CALCULO!D19&lt;0), CALCULO!D19 * -1, "")</f>
        <v/>
      </c>
      <c r="G19" s="219" t="str">
        <f>IF(AND(CALCULO!E19&lt;&gt;"", CALCULO!E19&lt;0), CALCULO!E19 * -1, "")</f>
        <v/>
      </c>
      <c r="H19" s="261">
        <f>IF(AND(CALCULO!F19&lt;&gt;"", CALCULO!F19&lt;0), CALCULO!F19 * -1, 0)</f>
        <v>0</v>
      </c>
      <c r="I19" s="232">
        <f>IF(AND(CALCULO!G19&lt;&gt;"", CALCULO!G19&lt;0), CALCULO!G19 * -1, 0)</f>
        <v>0</v>
      </c>
      <c r="J19" s="232">
        <f>IF(AND(CALCULO!H19&lt;&gt;"", CALCULO!H19&lt;0), CALCULO!H19 * -1, 0)</f>
        <v>0</v>
      </c>
      <c r="K19" s="232">
        <f>IF(AND(CALCULO!I19&lt;&gt;"", CALCULO!I19&lt;0), CALCULO!I19 * -1, 0)</f>
        <v>0</v>
      </c>
      <c r="L19" s="232">
        <f>IF(AND(CALCULO!J19&lt;&gt;"", CALCULO!J19&lt;0), CALCULO!J19 * -1, 0)</f>
        <v>0</v>
      </c>
      <c r="M19" s="154">
        <f>IF(AND(CALCULO!K19&lt;&gt;"", CALCULO!K19&lt;0), CALCULO!K19 * -1, 0)</f>
        <v>0</v>
      </c>
      <c r="N19" s="232">
        <f>IF(AND(CALCULO!L19&lt;&gt;"", CALCULO!L19&lt;0), CALCULO!L19 * -1, 0)</f>
        <v>0</v>
      </c>
      <c r="O19" s="154">
        <f>IF(AND(CALCULO!M19&lt;&gt;"", CALCULO!M19&lt;0), CALCULO!M19 * -1, 0)</f>
        <v>0</v>
      </c>
      <c r="P19" s="232">
        <f>IF(AND(CALCULO!N19&lt;&gt;"", CALCULO!N19&lt;0), CALCULO!N19 * -1, 0)</f>
        <v>0</v>
      </c>
      <c r="Q19" s="154">
        <f>IF(AND(CALCULO!O19&lt;&gt;"", CALCULO!O19&lt;0), CALCULO!O19 * -1, 0)</f>
        <v>0</v>
      </c>
      <c r="R19" s="232">
        <f>IF(AND(CALCULO!P19&lt;&gt;"", CALCULO!P19&lt;0), CALCULO!P19 * -1, 0)</f>
        <v>0</v>
      </c>
      <c r="S19" s="154">
        <f>IF(AND(CALCULO!Q19&lt;&gt;"", CALCULO!Q19&lt;0), CALCULO!Q19 * -1, 0)</f>
        <v>0</v>
      </c>
      <c r="T19" s="232">
        <f>IF(AND(CALCULO!R19&lt;&gt;"", CALCULO!R19&lt;0), CALCULO!R19 * -1, 0)</f>
        <v>0</v>
      </c>
      <c r="U19" s="154">
        <f>IF(AND(CALCULO!S19&lt;&gt;"", CALCULO!S19&lt;0), CALCULO!S19 * -1, 0)</f>
        <v>0</v>
      </c>
      <c r="V19" s="232">
        <f>IF(AND(CALCULO!T19&lt;&gt;"", CALCULO!T19&lt;0), CALCULO!T19 * -1, 0)</f>
        <v>0</v>
      </c>
      <c r="W19" s="154">
        <f>IF(AND(CALCULO!U19&lt;&gt;"", CALCULO!U19&lt;0), CALCULO!U19 * -1, 0)</f>
        <v>0</v>
      </c>
      <c r="X19" s="232">
        <f>IF(AND(CALCULO!V19&lt;&gt;"", CALCULO!V19&lt;0), CALCULO!V19 * -1, 0)</f>
        <v>0</v>
      </c>
      <c r="Y19" s="154">
        <f>IF(AND(CALCULO!W19&lt;&gt;"", CALCULO!W19&lt;0), CALCULO!W19 * -1, 0)</f>
        <v>0</v>
      </c>
      <c r="Z19" s="232">
        <f>IF(AND(CALCULO!X19&lt;&gt;"", CALCULO!X19&lt;0), CALCULO!X19 * -1, 0)</f>
        <v>0</v>
      </c>
      <c r="AA19" s="154">
        <f>IF(AND(CALCULO!Y19&lt;&gt;"", CALCULO!Y19&lt;0), CALCULO!Y19 * -1, 0)</f>
        <v>0</v>
      </c>
      <c r="AB19" s="232">
        <f>IF(AND(CALCULO!Z19&lt;&gt;"", CALCULO!Z19&lt;0), CALCULO!Z19 * -1, 0)</f>
        <v>0</v>
      </c>
      <c r="AC19" s="154">
        <f>IF(AND(CALCULO!AA19&lt;&gt;"", CALCULO!AA19&lt;0), CALCULO!AA19 * -1, 0)</f>
        <v>0</v>
      </c>
      <c r="AD19" s="232">
        <f>IF(AND(CALCULO!AB19&lt;&gt;"", CALCULO!AB19&lt;0), CALCULO!AB19 * -1, 0)</f>
        <v>0</v>
      </c>
      <c r="AE19" s="154">
        <f>IF(AND(CALCULO!AC19&lt;&gt;"", CALCULO!AC19&lt;0), CALCULO!AC19 * -1, 0)</f>
        <v>0</v>
      </c>
      <c r="AF19" s="232">
        <f>IF(AND(CALCULO!AD19&lt;&gt;"", CALCULO!AD19&lt;0), CALCULO!AD19 * -1, 0)</f>
        <v>0</v>
      </c>
      <c r="AG19" s="154">
        <f>IF(AND(CALCULO!AE19&lt;&gt;"", CALCULO!AE19&lt;0), CALCULO!AE19 * -1, 0)</f>
        <v>0</v>
      </c>
      <c r="AH19" s="232">
        <f>IF(AND(CALCULO!AF19&lt;&gt;"", CALCULO!AF19&lt;0), CALCULO!AF19 * -1, 0)</f>
        <v>0</v>
      </c>
      <c r="AI19" s="154">
        <f>IF(AND(CALCULO!AG19&lt;&gt;"", CALCULO!AG19&lt;0), CALCULO!AG19 * -1, 0)</f>
        <v>0</v>
      </c>
      <c r="AJ19" s="232">
        <f>IF(AND(CALCULO!AH19&lt;&gt;"", CALCULO!AH19&lt;0), CALCULO!AH19 * -1, 0)</f>
        <v>0</v>
      </c>
      <c r="AK19" s="154">
        <f>IF(AND(CALCULO!AI19&lt;&gt;"", CALCULO!AI19&lt;0), CALCULO!AI19 * -1, 0)</f>
        <v>0</v>
      </c>
      <c r="AL19" s="232">
        <f>IF(AND(CALCULO!AJ19&lt;&gt;"", CALCULO!AJ19&lt;0), CALCULO!AJ19 * -1, 0)</f>
        <v>0</v>
      </c>
      <c r="AM19" s="154">
        <f>IF(AND(CALCULO!AK19&lt;&gt;"", CALCULO!AK19&lt;0), CALCULO!AK19 * -1, 0)</f>
        <v>0</v>
      </c>
      <c r="AN19" s="232">
        <f>IF(AND(CALCULO!AL19&lt;&gt;"", CALCULO!AL19&lt;0), CALCULO!AL19 * -1, 0)</f>
        <v>0</v>
      </c>
      <c r="AO19" s="163">
        <f>IF(AND(CALCULO!AM19&lt;&gt;"", CALCULO!AM19&lt;0), CALCULO!AM19 * -1, 0)</f>
        <v>0</v>
      </c>
      <c r="AP19" s="321">
        <f>IF(E19-(ALTAS!C19+AQ19+AR19)&gt;=0,+E19-(ALTAS!C19+AQ19+AR19),"NEGATIVO")</f>
        <v>0</v>
      </c>
      <c r="AQ19" s="321">
        <f>+ALTAS!D19</f>
        <v>0</v>
      </c>
      <c r="AR19" s="321">
        <f>+ALTAS!E19</f>
        <v>0</v>
      </c>
      <c r="AS19" s="259">
        <f>IF(AND(CALCULO!AN19&lt;&gt;"", CALCULO!AN19&lt;0), CALCULO!AN19 * -1, 0)</f>
        <v>0</v>
      </c>
      <c r="AT19" s="154">
        <f>IF(AND(CALCULO!AO19&lt;&gt;"", CALCULO!AO19&lt;0), CALCULO!AO19 * -1, 0)</f>
        <v>0</v>
      </c>
      <c r="AU19" s="232">
        <f>IF(AND(CALCULO!AP19&lt;&gt;"", CALCULO!AP19&lt;0), CALCULO!AP19 * -1, 0)</f>
        <v>0</v>
      </c>
      <c r="AV19" s="154">
        <f>IF(AND(CALCULO!AQ19&lt;&gt;"", CALCULO!AQ19&lt;0), CALCULO!AQ19 * -1, 0)</f>
        <v>0</v>
      </c>
      <c r="AW19" s="154">
        <f>IF(AND(CALCULO!AT19&lt;&gt;"", CALCULO!AT19&lt;0), CALCULO!AT19 * -1, 0)</f>
        <v>0</v>
      </c>
      <c r="AX19" s="154">
        <f>IF(AND(CALCULO!AU19&lt;&gt;"", CALCULO!AU19&lt;0), CALCULO!AU19 * -1, 0)</f>
        <v>0</v>
      </c>
      <c r="AY19">
        <f t="shared" si="2"/>
        <v>0</v>
      </c>
      <c r="AZ19" s="146">
        <f t="shared" si="3"/>
        <v>0</v>
      </c>
      <c r="BB19" s="181">
        <f>IF(AND(CALCULO!AR18&lt;&gt;"", CALCULO!AR18&lt;0), CALCULO!AR18 * -1, 0)</f>
        <v>0</v>
      </c>
      <c r="BC19" s="181">
        <f>IF(AND(CALCULO!AS18&lt;&gt;"", CALCULO!AS18&lt;0), CALCULO!AS18 * -1, 0)</f>
        <v>0</v>
      </c>
      <c r="BG19" s="146">
        <f>IF(AND(CALCULO!AW18&lt;&gt;"", CALCULO!AW18&lt;0), CALCULO!WP18 * -1, 0)</f>
        <v>0</v>
      </c>
      <c r="BH19">
        <f>IF(AND(CALCULO!AX18&lt;&gt;"", CALCULO!AX18&lt;0), CALCULO!AX18 * -1, 0)</f>
        <v>0</v>
      </c>
    </row>
    <row r="20" spans="1:60" ht="21.75" thickBot="1" x14ac:dyDescent="0.3">
      <c r="A20" s="375"/>
      <c r="B20" s="173"/>
      <c r="C20" s="442"/>
      <c r="D20" s="258" t="s">
        <v>49</v>
      </c>
      <c r="E20" s="228">
        <f t="shared" si="1"/>
        <v>0</v>
      </c>
      <c r="F20" s="165" t="str">
        <f>IF(AND(CALCULO!D20&lt;&gt;"", CALCULO!D20&lt;0), CALCULO!D20 * -1, "")</f>
        <v/>
      </c>
      <c r="G20" s="246" t="str">
        <f>IF(AND(CALCULO!E20&lt;&gt;"", CALCULO!E20&lt;0), CALCULO!E20 * -1, "")</f>
        <v/>
      </c>
      <c r="H20" s="180">
        <f>IF(AND(CALCULO!F20&lt;&gt;"", CALCULO!F20&lt;0), CALCULO!F20 * -1, 0)</f>
        <v>0</v>
      </c>
      <c r="I20" s="165">
        <f>IF(AND(CALCULO!G20&lt;&gt;"", CALCULO!G20&lt;0), CALCULO!G20 * -1, 0)</f>
        <v>0</v>
      </c>
      <c r="J20" s="165">
        <f>IF(AND(CALCULO!H20&lt;&gt;"", CALCULO!H20&lt;0), CALCULO!H20 * -1, 0)</f>
        <v>0</v>
      </c>
      <c r="K20" s="165">
        <f>IF(AND(CALCULO!I20&lt;&gt;"", CALCULO!I20&lt;0), CALCULO!I20 * -1, 0)</f>
        <v>0</v>
      </c>
      <c r="L20" s="165">
        <f>IF(AND(CALCULO!J20&lt;&gt;"", CALCULO!J20&lt;0), CALCULO!J20 * -1, 0)</f>
        <v>0</v>
      </c>
      <c r="M20" s="165">
        <f>IF(AND(CALCULO!K20&lt;&gt;"", CALCULO!K20&lt;0), CALCULO!K20 * -1, 0)</f>
        <v>0</v>
      </c>
      <c r="N20" s="165">
        <f>IF(AND(CALCULO!L20&lt;&gt;"", CALCULO!L20&lt;0), CALCULO!L20 * -1, 0)</f>
        <v>0</v>
      </c>
      <c r="O20" s="165">
        <f>IF(AND(CALCULO!M20&lt;&gt;"", CALCULO!M20&lt;0), CALCULO!M20 * -1, 0)</f>
        <v>0</v>
      </c>
      <c r="P20" s="165">
        <f>IF(AND(CALCULO!N20&lt;&gt;"", CALCULO!N20&lt;0), CALCULO!N20 * -1, 0)</f>
        <v>0</v>
      </c>
      <c r="Q20" s="165">
        <f>IF(AND(CALCULO!O20&lt;&gt;"", CALCULO!O20&lt;0), CALCULO!O20 * -1, 0)</f>
        <v>0</v>
      </c>
      <c r="R20" s="165">
        <f>IF(AND(CALCULO!P20&lt;&gt;"", CALCULO!P20&lt;0), CALCULO!P20 * -1, 0)</f>
        <v>0</v>
      </c>
      <c r="S20" s="165">
        <f>IF(AND(CALCULO!Q20&lt;&gt;"", CALCULO!Q20&lt;0), CALCULO!Q20 * -1, 0)</f>
        <v>0</v>
      </c>
      <c r="T20" s="165">
        <f>IF(AND(CALCULO!R20&lt;&gt;"", CALCULO!R20&lt;0), CALCULO!R20 * -1, 0)</f>
        <v>0</v>
      </c>
      <c r="U20" s="165">
        <f>IF(AND(CALCULO!S20&lt;&gt;"", CALCULO!S20&lt;0), CALCULO!S20 * -1, 0)</f>
        <v>0</v>
      </c>
      <c r="V20" s="165">
        <f>IF(AND(CALCULO!T20&lt;&gt;"", CALCULO!T20&lt;0), CALCULO!T20 * -1, 0)</f>
        <v>0</v>
      </c>
      <c r="W20" s="165">
        <f>IF(AND(CALCULO!U20&lt;&gt;"", CALCULO!U20&lt;0), CALCULO!U20 * -1, 0)</f>
        <v>0</v>
      </c>
      <c r="X20" s="165">
        <f>IF(AND(CALCULO!V20&lt;&gt;"", CALCULO!V20&lt;0), CALCULO!V20 * -1, 0)</f>
        <v>0</v>
      </c>
      <c r="Y20" s="165">
        <f>IF(AND(CALCULO!W20&lt;&gt;"", CALCULO!W20&lt;0), CALCULO!W20 * -1, 0)</f>
        <v>0</v>
      </c>
      <c r="Z20" s="165">
        <f>IF(AND(CALCULO!X20&lt;&gt;"", CALCULO!X20&lt;0), CALCULO!X20 * -1, 0)</f>
        <v>0</v>
      </c>
      <c r="AA20" s="165">
        <f>IF(AND(CALCULO!Y20&lt;&gt;"", CALCULO!Y20&lt;0), CALCULO!Y20 * -1, 0)</f>
        <v>0</v>
      </c>
      <c r="AB20" s="165">
        <f>IF(AND(CALCULO!Z20&lt;&gt;"", CALCULO!Z20&lt;0), CALCULO!Z20 * -1, 0)</f>
        <v>0</v>
      </c>
      <c r="AC20" s="165">
        <f>IF(AND(CALCULO!AA20&lt;&gt;"", CALCULO!AA20&lt;0), CALCULO!AA20 * -1, 0)</f>
        <v>0</v>
      </c>
      <c r="AD20" s="165">
        <f>IF(AND(CALCULO!AB20&lt;&gt;"", CALCULO!AB20&lt;0), CALCULO!AB20 * -1, 0)</f>
        <v>0</v>
      </c>
      <c r="AE20" s="165">
        <f>IF(AND(CALCULO!AC20&lt;&gt;"", CALCULO!AC20&lt;0), CALCULO!AC20 * -1, 0)</f>
        <v>0</v>
      </c>
      <c r="AF20" s="165">
        <f>IF(AND(CALCULO!AD20&lt;&gt;"", CALCULO!AD20&lt;0), CALCULO!AD20 * -1, 0)</f>
        <v>0</v>
      </c>
      <c r="AG20" s="165">
        <f>IF(AND(CALCULO!AE20&lt;&gt;"", CALCULO!AE20&lt;0), CALCULO!AE20 * -1, 0)</f>
        <v>0</v>
      </c>
      <c r="AH20" s="165">
        <f>IF(AND(CALCULO!AF20&lt;&gt;"", CALCULO!AF20&lt;0), CALCULO!AF20 * -1, 0)</f>
        <v>0</v>
      </c>
      <c r="AI20" s="165">
        <f>IF(AND(CALCULO!AG20&lt;&gt;"", CALCULO!AG20&lt;0), CALCULO!AG20 * -1, 0)</f>
        <v>0</v>
      </c>
      <c r="AJ20" s="165">
        <f>IF(AND(CALCULO!AH20&lt;&gt;"", CALCULO!AH20&lt;0), CALCULO!AH20 * -1, 0)</f>
        <v>0</v>
      </c>
      <c r="AK20" s="165">
        <f>IF(AND(CALCULO!AI20&lt;&gt;"", CALCULO!AI20&lt;0), CALCULO!AI20 * -1, 0)</f>
        <v>0</v>
      </c>
      <c r="AL20" s="165">
        <f>IF(AND(CALCULO!AJ20&lt;&gt;"", CALCULO!AJ20&lt;0), CALCULO!AJ20 * -1, 0)</f>
        <v>0</v>
      </c>
      <c r="AM20" s="165">
        <f>IF(AND(CALCULO!AK20&lt;&gt;"", CALCULO!AK20&lt;0), CALCULO!AK20 * -1, 0)</f>
        <v>0</v>
      </c>
      <c r="AN20" s="165">
        <f>IF(AND(CALCULO!AL20&lt;&gt;"", CALCULO!AL20&lt;0), CALCULO!AL20 * -1, 0)</f>
        <v>0</v>
      </c>
      <c r="AO20" s="166">
        <f>IF(AND(CALCULO!AM20&lt;&gt;"", CALCULO!AM20&lt;0), CALCULO!AM20 * -1, 0)</f>
        <v>0</v>
      </c>
      <c r="AP20" s="321">
        <f>IF(E20-(ALTAS!C20+AQ20+AR20)&gt;=0,+E20-(ALTAS!C20+AQ20+AR20),"NEGATIVO")</f>
        <v>0</v>
      </c>
      <c r="AQ20" s="321">
        <f>+ALTAS!D20</f>
        <v>0</v>
      </c>
      <c r="AR20" s="321">
        <f>+ALTAS!E20</f>
        <v>0</v>
      </c>
      <c r="AS20" s="180">
        <f>IF(AND(CALCULO!AN20&lt;&gt;"", CALCULO!AN20&lt;0), CALCULO!AN20 * -1, 0)</f>
        <v>0</v>
      </c>
      <c r="AT20" s="165">
        <f>IF(AND(CALCULO!AO20&lt;&gt;"", CALCULO!AO20&lt;0), CALCULO!AO20 * -1, 0)</f>
        <v>0</v>
      </c>
      <c r="AU20" s="165">
        <f>IF(AND(CALCULO!AP20&lt;&gt;"", CALCULO!AP20&lt;0), CALCULO!AP20 * -1, 0)</f>
        <v>0</v>
      </c>
      <c r="AV20" s="165">
        <f>IF(AND(CALCULO!AQ20&lt;&gt;"", CALCULO!AQ20&lt;0), CALCULO!AQ20 * -1, 0)</f>
        <v>0</v>
      </c>
      <c r="AW20" s="165">
        <f>IF(AND(CALCULO!AT20&lt;&gt;"", CALCULO!AT20&lt;0), CALCULO!AT20 * -1, 0)</f>
        <v>0</v>
      </c>
      <c r="AX20" s="165">
        <f>IF(AND(CALCULO!AU20&lt;&gt;"", CALCULO!AU20&lt;0), CALCULO!AU20 * -1, 0)</f>
        <v>0</v>
      </c>
      <c r="AY20">
        <f>+BB24+BC24</f>
        <v>0</v>
      </c>
      <c r="AZ20" s="146">
        <f>+BG24+BH24</f>
        <v>0</v>
      </c>
      <c r="BB20" s="181">
        <f>IF(AND(CALCULO!AR19&lt;&gt;"", CALCULO!AR19&lt;0), CALCULO!AR19 * -1, 0)</f>
        <v>0</v>
      </c>
      <c r="BC20" s="181">
        <f>IF(AND(CALCULO!AS19&lt;&gt;"", CALCULO!AS19&lt;0), CALCULO!AS19 * -1, 0)</f>
        <v>0</v>
      </c>
      <c r="BG20" s="146">
        <f>IF(AND(CALCULO!AW19&lt;&gt;"", CALCULO!AW19&lt;0), CALCULO!WP19 * -1, 0)</f>
        <v>0</v>
      </c>
      <c r="BH20">
        <f>IF(AND(CALCULO!AX19&lt;&gt;"", CALCULO!AX19&lt;0), CALCULO!AX19 * -1, 0)</f>
        <v>0</v>
      </c>
    </row>
    <row r="21" spans="1:60" s="350" customFormat="1" x14ac:dyDescent="0.25">
      <c r="A21" s="375"/>
      <c r="B21" s="342"/>
      <c r="C21" s="343"/>
      <c r="D21" s="344"/>
      <c r="E21" s="345"/>
      <c r="F21" s="346"/>
      <c r="G21" s="347"/>
      <c r="H21" s="348"/>
      <c r="I21" s="346"/>
      <c r="J21" s="346"/>
      <c r="K21" s="346"/>
      <c r="L21" s="346"/>
      <c r="M21" s="346"/>
      <c r="N21" s="346"/>
      <c r="O21" s="346"/>
      <c r="P21" s="346"/>
      <c r="Q21" s="346"/>
      <c r="R21" s="346"/>
      <c r="S21" s="346"/>
      <c r="T21" s="346"/>
      <c r="U21" s="346"/>
      <c r="V21" s="346"/>
      <c r="W21" s="346"/>
      <c r="X21" s="346"/>
      <c r="Y21" s="346"/>
      <c r="Z21" s="346"/>
      <c r="AA21" s="346"/>
      <c r="AB21" s="346"/>
      <c r="AC21" s="346"/>
      <c r="AD21" s="346"/>
      <c r="AE21" s="346"/>
      <c r="AF21" s="346"/>
      <c r="AG21" s="346"/>
      <c r="AH21" s="346"/>
      <c r="AI21" s="346"/>
      <c r="AJ21" s="346"/>
      <c r="AK21" s="346"/>
      <c r="AL21" s="346"/>
      <c r="AM21" s="346"/>
      <c r="AN21" s="346"/>
      <c r="AO21" s="349"/>
      <c r="AP21" s="321">
        <f>IF(E21-(ALTAS!C21+AQ21+AR21)&gt;=0,+E21-(ALTAS!C21+AQ21+AR21),"NEGATIVO")</f>
        <v>0</v>
      </c>
      <c r="AQ21" s="321">
        <f>+ALTAS!D21</f>
        <v>0</v>
      </c>
      <c r="AR21" s="321">
        <f>+ALTAS!E21</f>
        <v>0</v>
      </c>
      <c r="AZ21" s="351"/>
      <c r="BA21" s="352"/>
      <c r="BB21" s="353"/>
      <c r="BC21" s="353"/>
      <c r="BG21" s="351"/>
    </row>
    <row r="22" spans="1:60" s="350" customFormat="1" x14ac:dyDescent="0.25">
      <c r="A22" s="375"/>
      <c r="B22" s="342"/>
      <c r="C22" s="343"/>
      <c r="D22" s="344"/>
      <c r="E22" s="345"/>
      <c r="F22" s="346"/>
      <c r="G22" s="347"/>
      <c r="H22" s="348"/>
      <c r="I22" s="346"/>
      <c r="J22" s="346"/>
      <c r="K22" s="346"/>
      <c r="L22" s="346"/>
      <c r="M22" s="346"/>
      <c r="N22" s="346"/>
      <c r="O22" s="346"/>
      <c r="P22" s="346"/>
      <c r="Q22" s="346"/>
      <c r="R22" s="346"/>
      <c r="S22" s="346"/>
      <c r="T22" s="346"/>
      <c r="U22" s="346"/>
      <c r="V22" s="346"/>
      <c r="W22" s="346"/>
      <c r="X22" s="346"/>
      <c r="Y22" s="346"/>
      <c r="Z22" s="346"/>
      <c r="AA22" s="346"/>
      <c r="AB22" s="346"/>
      <c r="AC22" s="346"/>
      <c r="AD22" s="346"/>
      <c r="AE22" s="346"/>
      <c r="AF22" s="346"/>
      <c r="AG22" s="346"/>
      <c r="AH22" s="346"/>
      <c r="AI22" s="346"/>
      <c r="AJ22" s="346"/>
      <c r="AK22" s="346"/>
      <c r="AL22" s="346"/>
      <c r="AM22" s="346"/>
      <c r="AN22" s="346"/>
      <c r="AO22" s="349"/>
      <c r="AP22" s="321">
        <f>IF(E22-(ALTAS!C22+AQ22+AR22)&gt;=0,+E22-(ALTAS!C22+AQ22+AR22),"NEGATIVO")</f>
        <v>0</v>
      </c>
      <c r="AQ22" s="321">
        <f>+ALTAS!D22</f>
        <v>0</v>
      </c>
      <c r="AR22" s="321">
        <f>+ALTAS!E22</f>
        <v>0</v>
      </c>
      <c r="AZ22" s="351"/>
      <c r="BA22" s="352"/>
      <c r="BB22" s="353"/>
      <c r="BC22" s="353"/>
      <c r="BG22" s="351"/>
    </row>
    <row r="23" spans="1:60" s="350" customFormat="1" ht="15.75" thickBot="1" x14ac:dyDescent="0.3">
      <c r="A23" s="375"/>
      <c r="B23" s="342"/>
      <c r="C23" s="343"/>
      <c r="D23" s="344"/>
      <c r="E23" s="345"/>
      <c r="F23" s="346"/>
      <c r="G23" s="347"/>
      <c r="H23" s="348"/>
      <c r="I23" s="346"/>
      <c r="J23" s="346"/>
      <c r="K23" s="346"/>
      <c r="L23" s="346"/>
      <c r="M23" s="346"/>
      <c r="N23" s="346"/>
      <c r="O23" s="346"/>
      <c r="P23" s="346"/>
      <c r="Q23" s="346"/>
      <c r="R23" s="346"/>
      <c r="S23" s="346"/>
      <c r="T23" s="346"/>
      <c r="U23" s="346"/>
      <c r="V23" s="346"/>
      <c r="W23" s="346"/>
      <c r="X23" s="346"/>
      <c r="Y23" s="346"/>
      <c r="Z23" s="346"/>
      <c r="AA23" s="346"/>
      <c r="AB23" s="346"/>
      <c r="AC23" s="346"/>
      <c r="AD23" s="346"/>
      <c r="AE23" s="346"/>
      <c r="AF23" s="346"/>
      <c r="AG23" s="346"/>
      <c r="AH23" s="346"/>
      <c r="AI23" s="346"/>
      <c r="AJ23" s="346"/>
      <c r="AK23" s="346"/>
      <c r="AL23" s="346"/>
      <c r="AM23" s="346"/>
      <c r="AN23" s="346"/>
      <c r="AO23" s="349"/>
      <c r="AP23" s="321">
        <f>IF(E23-(ALTAS!C23+AQ23+AR23)&gt;=0,+E23-(ALTAS!C23+AQ23+AR23),"NEGATIVO")</f>
        <v>0</v>
      </c>
      <c r="AQ23" s="321">
        <f>+ALTAS!D23</f>
        <v>0</v>
      </c>
      <c r="AR23" s="321">
        <f>+ALTAS!E23</f>
        <v>0</v>
      </c>
      <c r="AZ23" s="351"/>
      <c r="BA23" s="352"/>
      <c r="BB23" s="353"/>
      <c r="BC23" s="353"/>
      <c r="BG23" s="351"/>
    </row>
    <row r="24" spans="1:60" ht="33" x14ac:dyDescent="0.25">
      <c r="A24" s="375"/>
      <c r="B24" s="175"/>
      <c r="C24" s="439" t="s">
        <v>50</v>
      </c>
      <c r="D24" s="235" t="s">
        <v>51</v>
      </c>
      <c r="E24" s="204">
        <f t="shared" si="1"/>
        <v>1</v>
      </c>
      <c r="F24" s="189" t="str">
        <f>IF(AND(CALCULO!D21&lt;&gt;"", CALCULO!D21&lt;0), CALCULO!D21 * -1, "")</f>
        <v/>
      </c>
      <c r="G24" s="190" t="str">
        <f>IF(AND(CALCULO!E21&lt;&gt;"", CALCULO!E21&lt;0), CALCULO!E21 * -1, "")</f>
        <v/>
      </c>
      <c r="H24" s="264">
        <f>IF(AND(CALCULO!F21&lt;&gt;"", CALCULO!F21&lt;0), CALCULO!F21 * -1, 0)</f>
        <v>0</v>
      </c>
      <c r="I24" s="189">
        <f>IF(AND(CALCULO!G21&lt;&gt;"", CALCULO!G21&lt;0), CALCULO!G21 * -1, 0)</f>
        <v>0</v>
      </c>
      <c r="J24" s="189">
        <f>IF(AND(CALCULO!H21&lt;&gt;"", CALCULO!H21&lt;0), CALCULO!H21 * -1, 0)</f>
        <v>0</v>
      </c>
      <c r="K24" s="189">
        <f>IF(AND(CALCULO!I21&lt;&gt;"", CALCULO!I21&lt;0), CALCULO!I21 * -1, 0)</f>
        <v>0</v>
      </c>
      <c r="L24" s="189">
        <f>IF(AND(CALCULO!J21&lt;&gt;"", CALCULO!J21&lt;0), CALCULO!J21 * -1, 0)</f>
        <v>0</v>
      </c>
      <c r="M24" s="189">
        <f>IF(AND(CALCULO!K21&lt;&gt;"", CALCULO!K21&lt;0), CALCULO!K21 * -1, 0)</f>
        <v>0</v>
      </c>
      <c r="N24" s="189">
        <f>IF(AND(CALCULO!L21&lt;&gt;"", CALCULO!L21&lt;0), CALCULO!L21 * -1, 0)</f>
        <v>0</v>
      </c>
      <c r="O24" s="189">
        <f>IF(AND(CALCULO!M21&lt;&gt;"", CALCULO!M21&lt;0), CALCULO!M21 * -1, 0)</f>
        <v>0</v>
      </c>
      <c r="P24" s="189">
        <f>IF(AND(CALCULO!N21&lt;&gt;"", CALCULO!N21&lt;0), CALCULO!N21 * -1, 0)</f>
        <v>0</v>
      </c>
      <c r="Q24" s="189">
        <f>IF(AND(CALCULO!O21&lt;&gt;"", CALCULO!O21&lt;0), CALCULO!O21 * -1, 0)</f>
        <v>0</v>
      </c>
      <c r="R24" s="189">
        <f>IF(AND(CALCULO!P21&lt;&gt;"", CALCULO!P21&lt;0), CALCULO!P21 * -1, 0)</f>
        <v>0</v>
      </c>
      <c r="S24" s="189">
        <f>IF(AND(CALCULO!Q21&lt;&gt;"", CALCULO!Q21&lt;0), CALCULO!Q21 * -1, 0)</f>
        <v>0</v>
      </c>
      <c r="T24" s="189">
        <f>IF(AND(CALCULO!R21&lt;&gt;"", CALCULO!R21&lt;0), CALCULO!R21 * -1, 0)</f>
        <v>0</v>
      </c>
      <c r="U24" s="189">
        <f>IF(AND(CALCULO!S21&lt;&gt;"", CALCULO!S21&lt;0), CALCULO!S21 * -1, 0)</f>
        <v>0</v>
      </c>
      <c r="V24" s="189">
        <f>IF(AND(CALCULO!T21&lt;&gt;"", CALCULO!T21&lt;0), CALCULO!T21 * -1, 0)</f>
        <v>0</v>
      </c>
      <c r="W24" s="189">
        <f>IF(AND(CALCULO!U21&lt;&gt;"", CALCULO!U21&lt;0), CALCULO!U21 * -1, 0)</f>
        <v>0</v>
      </c>
      <c r="X24" s="189">
        <f>IF(AND(CALCULO!V21&lt;&gt;"", CALCULO!V21&lt;0), CALCULO!V21 * -1, 0)</f>
        <v>0</v>
      </c>
      <c r="Y24" s="189">
        <f>IF(AND(CALCULO!W21&lt;&gt;"", CALCULO!W21&lt;0), CALCULO!W21 * -1, 0)</f>
        <v>0</v>
      </c>
      <c r="Z24" s="189">
        <f>IF(AND(CALCULO!X21&lt;&gt;"", CALCULO!X21&lt;0), CALCULO!X21 * -1, 0)</f>
        <v>0</v>
      </c>
      <c r="AA24" s="189">
        <f>IF(AND(CALCULO!Y21&lt;&gt;"", CALCULO!Y21&lt;0), CALCULO!Y21 * -1, 0)</f>
        <v>0</v>
      </c>
      <c r="AB24" s="189">
        <f>IF(AND(CALCULO!Z21&lt;&gt;"", CALCULO!Z21&lt;0), CALCULO!Z21 * -1, 0)</f>
        <v>1</v>
      </c>
      <c r="AC24" s="189">
        <f>IF(AND(CALCULO!AA21&lt;&gt;"", CALCULO!AA21&lt;0), CALCULO!AA21 * -1, 0)</f>
        <v>0</v>
      </c>
      <c r="AD24" s="189">
        <f>IF(AND(CALCULO!AB21&lt;&gt;"", CALCULO!AB21&lt;0), CALCULO!AB21 * -1, 0)</f>
        <v>0</v>
      </c>
      <c r="AE24" s="189">
        <f>IF(AND(CALCULO!AC21&lt;&gt;"", CALCULO!AC21&lt;0), CALCULO!AC21 * -1, 0)</f>
        <v>0</v>
      </c>
      <c r="AF24" s="189">
        <f>IF(AND(CALCULO!AD21&lt;&gt;"", CALCULO!AD21&lt;0), CALCULO!AD21 * -1, 0)</f>
        <v>0</v>
      </c>
      <c r="AG24" s="189">
        <f>IF(AND(CALCULO!AE21&lt;&gt;"", CALCULO!AE21&lt;0), CALCULO!AE21 * -1, 0)</f>
        <v>0</v>
      </c>
      <c r="AH24" s="189">
        <f>IF(AND(CALCULO!AF21&lt;&gt;"", CALCULO!AF21&lt;0), CALCULO!AF21 * -1, 0)</f>
        <v>0</v>
      </c>
      <c r="AI24" s="189">
        <f>IF(AND(CALCULO!AG21&lt;&gt;"", CALCULO!AG21&lt;0), CALCULO!AG21 * -1, 0)</f>
        <v>0</v>
      </c>
      <c r="AJ24" s="189">
        <f>IF(AND(CALCULO!AH21&lt;&gt;"", CALCULO!AH21&lt;0), CALCULO!AH21 * -1, 0)</f>
        <v>0</v>
      </c>
      <c r="AK24" s="189">
        <f>IF(AND(CALCULO!AI21&lt;&gt;"", CALCULO!AI21&lt;0), CALCULO!AI21 * -1, 0)</f>
        <v>0</v>
      </c>
      <c r="AL24" s="189">
        <f>IF(AND(CALCULO!AJ21&lt;&gt;"", CALCULO!AJ21&lt;0), CALCULO!AJ21 * -1, 0)</f>
        <v>0</v>
      </c>
      <c r="AM24" s="189">
        <f>IF(AND(CALCULO!AK21&lt;&gt;"", CALCULO!AK21&lt;0), CALCULO!AK21 * -1, 0)</f>
        <v>0</v>
      </c>
      <c r="AN24" s="189">
        <f>IF(AND(CALCULO!AL21&lt;&gt;"", CALCULO!AL21&lt;0), CALCULO!AL21 * -1, 0)</f>
        <v>0</v>
      </c>
      <c r="AO24" s="202">
        <f>IF(AND(CALCULO!AM21&lt;&gt;"", CALCULO!AM21&lt;0), CALCULO!AM21 * -1, 0)</f>
        <v>0</v>
      </c>
      <c r="AP24" s="321">
        <f>IF(E24-(ALTAS!C24+AQ24+AR24)&gt;=0,+E24-(ALTAS!C24+AQ24+AR24),"NEGATIVO")</f>
        <v>0</v>
      </c>
      <c r="AQ24" s="321">
        <f>+ALTAS!D24</f>
        <v>0</v>
      </c>
      <c r="AR24" s="321">
        <f>+ALTAS!E24</f>
        <v>1</v>
      </c>
      <c r="AS24" s="209">
        <f>IF(AND(CALCULO!AN21&lt;&gt;"", CALCULO!AN21&lt;0), CALCULO!AN21 * -1, 0)</f>
        <v>0</v>
      </c>
      <c r="AT24" s="209">
        <f>IF(AND(CALCULO!AO21&lt;&gt;"", CALCULO!AO21&lt;0), CALCULO!AO21 * -1, 0)</f>
        <v>0</v>
      </c>
      <c r="AU24" s="209">
        <f>IF(AND(CALCULO!AP21&lt;&gt;"", CALCULO!AP21&lt;0), CALCULO!AP21 * -1, 0)</f>
        <v>1</v>
      </c>
      <c r="AV24" s="209">
        <f>IF(AND(CALCULO!AQ21&lt;&gt;"", CALCULO!AQ21&lt;0), CALCULO!AQ21 * -1, 0)</f>
        <v>0</v>
      </c>
      <c r="AW24" s="209">
        <f>IF(AND(CALCULO!AT21&lt;&gt;"", CALCULO!AT21&lt;0), CALCULO!AT21 * -1, 0)</f>
        <v>0</v>
      </c>
      <c r="AX24" s="209">
        <f>IF(AND(CALCULO!AU21&lt;&gt;"", CALCULO!AU21&lt;0), CALCULO!AU21 * -1, 0)</f>
        <v>0</v>
      </c>
      <c r="AY24" s="209">
        <f t="shared" si="2"/>
        <v>0</v>
      </c>
      <c r="AZ24" s="146">
        <f t="shared" si="3"/>
        <v>0</v>
      </c>
      <c r="BB24" s="181">
        <f>IF(AND(CALCULO!AR20&lt;&gt;"", CALCULO!AR20&lt;0), CALCULO!AR20 * -1, 0)</f>
        <v>0</v>
      </c>
      <c r="BC24" s="181">
        <f>IF(AND(CALCULO!AS20&lt;&gt;"", CALCULO!AS20&lt;0), CALCULO!AS20 * -1, 0)</f>
        <v>0</v>
      </c>
      <c r="BG24" s="146">
        <f>IF(AND(CALCULO!AW20&lt;&gt;"", CALCULO!AW20&lt;0), CALCULO!WP20 * -1, 0)</f>
        <v>0</v>
      </c>
      <c r="BH24">
        <f>IF(AND(CALCULO!AX20&lt;&gt;"", CALCULO!AX20&lt;0), CALCULO!AX20 * -1, 0)</f>
        <v>0</v>
      </c>
    </row>
    <row r="25" spans="1:60" ht="33" x14ac:dyDescent="0.25">
      <c r="A25" s="375"/>
      <c r="B25" s="176"/>
      <c r="C25" s="440"/>
      <c r="D25" s="236" t="s">
        <v>52</v>
      </c>
      <c r="E25" s="205">
        <f t="shared" si="1"/>
        <v>1</v>
      </c>
      <c r="F25" s="155" t="str">
        <f>IF(AND(CALCULO!D22&lt;&gt;"", CALCULO!D22&lt;0), CALCULO!D22 * -1, "")</f>
        <v/>
      </c>
      <c r="G25" s="191">
        <f>IF(AND(CALCULO!E22&lt;&gt;"", CALCULO!E22&lt;0), CALCULO!E22 * -1, "")</f>
        <v>1</v>
      </c>
      <c r="H25" s="265">
        <f>IF(AND(CALCULO!F22&lt;&gt;"", CALCULO!F22&lt;0), CALCULO!F22 * -1, 0)</f>
        <v>0</v>
      </c>
      <c r="I25" s="155">
        <f>IF(AND(CALCULO!G22&lt;&gt;"", CALCULO!G22&lt;0), CALCULO!G22 * -1, 0)</f>
        <v>0</v>
      </c>
      <c r="J25" s="155">
        <f>IF(AND(CALCULO!H22&lt;&gt;"", CALCULO!H22&lt;0), CALCULO!H22 * -1, 0)</f>
        <v>0</v>
      </c>
      <c r="K25" s="155">
        <f>IF(AND(CALCULO!I22&lt;&gt;"", CALCULO!I22&lt;0), CALCULO!I22 * -1, 0)</f>
        <v>0</v>
      </c>
      <c r="L25" s="155">
        <f>IF(AND(CALCULO!J22&lt;&gt;"", CALCULO!J22&lt;0), CALCULO!J22 * -1, 0)</f>
        <v>0</v>
      </c>
      <c r="M25" s="155">
        <f>IF(AND(CALCULO!K22&lt;&gt;"", CALCULO!K22&lt;0), CALCULO!K22 * -1, 0)</f>
        <v>0</v>
      </c>
      <c r="N25" s="155">
        <f>IF(AND(CALCULO!L22&lt;&gt;"", CALCULO!L22&lt;0), CALCULO!L22 * -1, 0)</f>
        <v>0</v>
      </c>
      <c r="O25" s="155">
        <f>IF(AND(CALCULO!M22&lt;&gt;"", CALCULO!M22&lt;0), CALCULO!M22 * -1, 0)</f>
        <v>0</v>
      </c>
      <c r="P25" s="155">
        <f>IF(AND(CALCULO!N22&lt;&gt;"", CALCULO!N22&lt;0), CALCULO!N22 * -1, 0)</f>
        <v>0</v>
      </c>
      <c r="Q25" s="155">
        <f>IF(AND(CALCULO!O22&lt;&gt;"", CALCULO!O22&lt;0), CALCULO!O22 * -1, 0)</f>
        <v>0</v>
      </c>
      <c r="R25" s="155">
        <f>IF(AND(CALCULO!P22&lt;&gt;"", CALCULO!P22&lt;0), CALCULO!P22 * -1, 0)</f>
        <v>0</v>
      </c>
      <c r="S25" s="155">
        <f>IF(AND(CALCULO!Q22&lt;&gt;"", CALCULO!Q22&lt;0), CALCULO!Q22 * -1, 0)</f>
        <v>0</v>
      </c>
      <c r="T25" s="155">
        <f>IF(AND(CALCULO!R22&lt;&gt;"", CALCULO!R22&lt;0), CALCULO!R22 * -1, 0)</f>
        <v>0</v>
      </c>
      <c r="U25" s="155">
        <f>IF(AND(CALCULO!S22&lt;&gt;"", CALCULO!S22&lt;0), CALCULO!S22 * -1, 0)</f>
        <v>0</v>
      </c>
      <c r="V25" s="155">
        <f>IF(AND(CALCULO!T22&lt;&gt;"", CALCULO!T22&lt;0), CALCULO!T22 * -1, 0)</f>
        <v>0</v>
      </c>
      <c r="W25" s="155">
        <f>IF(AND(CALCULO!U22&lt;&gt;"", CALCULO!U22&lt;0), CALCULO!U22 * -1, 0)</f>
        <v>1</v>
      </c>
      <c r="X25" s="155">
        <f>IF(AND(CALCULO!V22&lt;&gt;"", CALCULO!V22&lt;0), CALCULO!V22 * -1, 0)</f>
        <v>0</v>
      </c>
      <c r="Y25" s="155">
        <f>IF(AND(CALCULO!W22&lt;&gt;"", CALCULO!W22&lt;0), CALCULO!W22 * -1, 0)</f>
        <v>0</v>
      </c>
      <c r="Z25" s="155">
        <f>IF(AND(CALCULO!X22&lt;&gt;"", CALCULO!X22&lt;0), CALCULO!X22 * -1, 0)</f>
        <v>0</v>
      </c>
      <c r="AA25" s="155">
        <f>IF(AND(CALCULO!Y22&lt;&gt;"", CALCULO!Y22&lt;0), CALCULO!Y22 * -1, 0)</f>
        <v>0</v>
      </c>
      <c r="AB25" s="155">
        <f>IF(AND(CALCULO!Z22&lt;&gt;"", CALCULO!Z22&lt;0), CALCULO!Z22 * -1, 0)</f>
        <v>0</v>
      </c>
      <c r="AC25" s="155">
        <f>IF(AND(CALCULO!AA22&lt;&gt;"", CALCULO!AA22&lt;0), CALCULO!AA22 * -1, 0)</f>
        <v>0</v>
      </c>
      <c r="AD25" s="155">
        <f>IF(AND(CALCULO!AB22&lt;&gt;"", CALCULO!AB22&lt;0), CALCULO!AB22 * -1, 0)</f>
        <v>0</v>
      </c>
      <c r="AE25" s="155">
        <f>IF(AND(CALCULO!AC22&lt;&gt;"", CALCULO!AC22&lt;0), CALCULO!AC22 * -1, 0)</f>
        <v>0</v>
      </c>
      <c r="AF25" s="155">
        <f>IF(AND(CALCULO!AD22&lt;&gt;"", CALCULO!AD22&lt;0), CALCULO!AD22 * -1, 0)</f>
        <v>0</v>
      </c>
      <c r="AG25" s="155">
        <f>IF(AND(CALCULO!AE22&lt;&gt;"", CALCULO!AE22&lt;0), CALCULO!AE22 * -1, 0)</f>
        <v>0</v>
      </c>
      <c r="AH25" s="155">
        <f>IF(AND(CALCULO!AF22&lt;&gt;"", CALCULO!AF22&lt;0), CALCULO!AF22 * -1, 0)</f>
        <v>0</v>
      </c>
      <c r="AI25" s="155">
        <f>IF(AND(CALCULO!AG22&lt;&gt;"", CALCULO!AG22&lt;0), CALCULO!AG22 * -1, 0)</f>
        <v>0</v>
      </c>
      <c r="AJ25" s="155">
        <f>IF(AND(CALCULO!AH22&lt;&gt;"", CALCULO!AH22&lt;0), CALCULO!AH22 * -1, 0)</f>
        <v>0</v>
      </c>
      <c r="AK25" s="155">
        <f>IF(AND(CALCULO!AI22&lt;&gt;"", CALCULO!AI22&lt;0), CALCULO!AI22 * -1, 0)</f>
        <v>0</v>
      </c>
      <c r="AL25" s="155">
        <f>IF(AND(CALCULO!AJ22&lt;&gt;"", CALCULO!AJ22&lt;0), CALCULO!AJ22 * -1, 0)</f>
        <v>0</v>
      </c>
      <c r="AM25" s="155">
        <f>IF(AND(CALCULO!AK22&lt;&gt;"", CALCULO!AK22&lt;0), CALCULO!AK22 * -1, 0)</f>
        <v>0</v>
      </c>
      <c r="AN25" s="155">
        <f>IF(AND(CALCULO!AL22&lt;&gt;"", CALCULO!AL22&lt;0), CALCULO!AL22 * -1, 0)</f>
        <v>0</v>
      </c>
      <c r="AO25" s="164">
        <f>IF(AND(CALCULO!AM22&lt;&gt;"", CALCULO!AM22&lt;0), CALCULO!AM22 * -1, 0)</f>
        <v>0</v>
      </c>
      <c r="AP25" s="321">
        <f>IF(E25-(ALTAS!C25+AQ25+AR25)&gt;=0,+E25-(ALTAS!C25+AQ25+AR25),"NEGATIVO")</f>
        <v>1</v>
      </c>
      <c r="AQ25" s="321">
        <f>+ALTAS!D25</f>
        <v>0</v>
      </c>
      <c r="AR25" s="321">
        <f>+ALTAS!E25</f>
        <v>0</v>
      </c>
      <c r="AS25">
        <f>IF(AND(CALCULO!AN22&lt;&gt;"", CALCULO!AN22&lt;0), CALCULO!AN22 * -1, 0)</f>
        <v>0</v>
      </c>
      <c r="AT25">
        <f>IF(AND(CALCULO!AO22&lt;&gt;"", CALCULO!AO22&lt;0), CALCULO!AO22 * -1, 0)</f>
        <v>0</v>
      </c>
      <c r="AU25">
        <f>IF(AND(CALCULO!AP22&lt;&gt;"", CALCULO!AP22&lt;0), CALCULO!AP22 * -1, 0)</f>
        <v>0</v>
      </c>
      <c r="AV25">
        <f>IF(AND(CALCULO!AQ22&lt;&gt;"", CALCULO!AQ22&lt;0), CALCULO!AQ22 * -1, 0)</f>
        <v>0</v>
      </c>
      <c r="AW25">
        <f>IF(AND(CALCULO!AT22&lt;&gt;"", CALCULO!AT22&lt;0), CALCULO!AT22 * -1, 0)</f>
        <v>0</v>
      </c>
      <c r="AX25">
        <f>IF(AND(CALCULO!AU22&lt;&gt;"", CALCULO!AU22&lt;0), CALCULO!AU22 * -1, 0)</f>
        <v>0</v>
      </c>
      <c r="AY25">
        <f t="shared" si="2"/>
        <v>0</v>
      </c>
      <c r="AZ25" s="146">
        <f t="shared" si="3"/>
        <v>0</v>
      </c>
      <c r="BB25" s="181">
        <f>IF(AND(CALCULO!AR21&lt;&gt;"", CALCULO!AR21&lt;0), CALCULO!AR21 * -1, 0)</f>
        <v>0</v>
      </c>
      <c r="BC25" s="181">
        <f>IF(AND(CALCULO!AS21&lt;&gt;"", CALCULO!AS21&lt;0), CALCULO!AS21 * -1, 0)</f>
        <v>0</v>
      </c>
      <c r="BG25" s="146">
        <f>IF(AND(CALCULO!AW21&lt;&gt;"", CALCULO!AW21&lt;0), CALCULO!WP21 * -1, 0)</f>
        <v>0</v>
      </c>
      <c r="BH25">
        <f>IF(AND(CALCULO!AX21&lt;&gt;"", CALCULO!AX21&lt;0), CALCULO!AX21 * -1, 0)</f>
        <v>0</v>
      </c>
    </row>
    <row r="26" spans="1:60" ht="33.75" thickBot="1" x14ac:dyDescent="0.3">
      <c r="A26" s="376"/>
      <c r="B26" s="220"/>
      <c r="C26" s="440"/>
      <c r="D26" s="236" t="s">
        <v>53</v>
      </c>
      <c r="E26" s="205">
        <f t="shared" si="1"/>
        <v>0</v>
      </c>
      <c r="F26" s="155" t="str">
        <f>IF(AND(CALCULO!D23&lt;&gt;"", CALCULO!D23&lt;0), CALCULO!D23 * -1, "")</f>
        <v/>
      </c>
      <c r="G26" s="191" t="str">
        <f>IF(AND(CALCULO!E23&lt;&gt;"", CALCULO!E23&lt;0), CALCULO!E23 * -1, "")</f>
        <v/>
      </c>
      <c r="H26" s="265">
        <f>IF(AND(CALCULO!F23&lt;&gt;"", CALCULO!F23&lt;0), CALCULO!F23 * -1, 0)</f>
        <v>0</v>
      </c>
      <c r="I26" s="155">
        <f>IF(AND(CALCULO!G23&lt;&gt;"", CALCULO!G23&lt;0), CALCULO!G23 * -1, 0)</f>
        <v>0</v>
      </c>
      <c r="J26" s="155">
        <f>IF(AND(CALCULO!H23&lt;&gt;"", CALCULO!H23&lt;0), CALCULO!H23 * -1, 0)</f>
        <v>0</v>
      </c>
      <c r="K26" s="155">
        <f>IF(AND(CALCULO!I23&lt;&gt;"", CALCULO!I23&lt;0), CALCULO!I23 * -1, 0)</f>
        <v>0</v>
      </c>
      <c r="L26" s="155">
        <f>IF(AND(CALCULO!J23&lt;&gt;"", CALCULO!J23&lt;0), CALCULO!J23 * -1, 0)</f>
        <v>0</v>
      </c>
      <c r="M26" s="155">
        <f>IF(AND(CALCULO!K23&lt;&gt;"", CALCULO!K23&lt;0), CALCULO!K23 * -1, 0)</f>
        <v>0</v>
      </c>
      <c r="N26" s="155">
        <f>IF(AND(CALCULO!L23&lt;&gt;"", CALCULO!L23&lt;0), CALCULO!L23 * -1, 0)</f>
        <v>0</v>
      </c>
      <c r="O26" s="155">
        <f>IF(AND(CALCULO!M23&lt;&gt;"", CALCULO!M23&lt;0), CALCULO!M23 * -1, 0)</f>
        <v>0</v>
      </c>
      <c r="P26" s="155">
        <f>IF(AND(CALCULO!N23&lt;&gt;"", CALCULO!N23&lt;0), CALCULO!N23 * -1, 0)</f>
        <v>0</v>
      </c>
      <c r="Q26" s="155">
        <f>IF(AND(CALCULO!O23&lt;&gt;"", CALCULO!O23&lt;0), CALCULO!O23 * -1, 0)</f>
        <v>0</v>
      </c>
      <c r="R26" s="155">
        <f>IF(AND(CALCULO!P23&lt;&gt;"", CALCULO!P23&lt;0), CALCULO!P23 * -1, 0)</f>
        <v>0</v>
      </c>
      <c r="S26" s="155">
        <f>IF(AND(CALCULO!Q23&lt;&gt;"", CALCULO!Q23&lt;0), CALCULO!Q23 * -1, 0)</f>
        <v>0</v>
      </c>
      <c r="T26" s="155">
        <f>IF(AND(CALCULO!R23&lt;&gt;"", CALCULO!R23&lt;0), CALCULO!R23 * -1, 0)</f>
        <v>0</v>
      </c>
      <c r="U26" s="155">
        <f>IF(AND(CALCULO!S23&lt;&gt;"", CALCULO!S23&lt;0), CALCULO!S23 * -1, 0)</f>
        <v>0</v>
      </c>
      <c r="V26" s="155">
        <f>IF(AND(CALCULO!T23&lt;&gt;"", CALCULO!T23&lt;0), CALCULO!T23 * -1, 0)</f>
        <v>0</v>
      </c>
      <c r="W26" s="155">
        <f>IF(AND(CALCULO!U23&lt;&gt;"", CALCULO!U23&lt;0), CALCULO!U23 * -1, 0)</f>
        <v>0</v>
      </c>
      <c r="X26" s="155">
        <f>IF(AND(CALCULO!V23&lt;&gt;"", CALCULO!V23&lt;0), CALCULO!V23 * -1, 0)</f>
        <v>0</v>
      </c>
      <c r="Y26" s="155">
        <f>IF(AND(CALCULO!W23&lt;&gt;"", CALCULO!W23&lt;0), CALCULO!W23 * -1, 0)</f>
        <v>0</v>
      </c>
      <c r="Z26" s="155">
        <f>IF(AND(CALCULO!X23&lt;&gt;"", CALCULO!X23&lt;0), CALCULO!X23 * -1, 0)</f>
        <v>0</v>
      </c>
      <c r="AA26" s="155">
        <f>IF(AND(CALCULO!Y23&lt;&gt;"", CALCULO!Y23&lt;0), CALCULO!Y23 * -1, 0)</f>
        <v>0</v>
      </c>
      <c r="AB26" s="155">
        <f>IF(AND(CALCULO!Z23&lt;&gt;"", CALCULO!Z23&lt;0), CALCULO!Z23 * -1, 0)</f>
        <v>0</v>
      </c>
      <c r="AC26" s="155">
        <f>IF(AND(CALCULO!AA23&lt;&gt;"", CALCULO!AA23&lt;0), CALCULO!AA23 * -1, 0)</f>
        <v>0</v>
      </c>
      <c r="AD26" s="155">
        <f>IF(AND(CALCULO!AB23&lt;&gt;"", CALCULO!AB23&lt;0), CALCULO!AB23 * -1, 0)</f>
        <v>0</v>
      </c>
      <c r="AE26" s="155">
        <f>IF(AND(CALCULO!AC23&lt;&gt;"", CALCULO!AC23&lt;0), CALCULO!AC23 * -1, 0)</f>
        <v>0</v>
      </c>
      <c r="AF26" s="155">
        <f>IF(AND(CALCULO!AD23&lt;&gt;"", CALCULO!AD23&lt;0), CALCULO!AD23 * -1, 0)</f>
        <v>0</v>
      </c>
      <c r="AG26" s="155">
        <f>IF(AND(CALCULO!AE23&lt;&gt;"", CALCULO!AE23&lt;0), CALCULO!AE23 * -1, 0)</f>
        <v>0</v>
      </c>
      <c r="AH26" s="155">
        <f>IF(AND(CALCULO!AF23&lt;&gt;"", CALCULO!AF23&lt;0), CALCULO!AF23 * -1, 0)</f>
        <v>0</v>
      </c>
      <c r="AI26" s="155">
        <f>IF(AND(CALCULO!AG23&lt;&gt;"", CALCULO!AG23&lt;0), CALCULO!AG23 * -1, 0)</f>
        <v>0</v>
      </c>
      <c r="AJ26" s="155">
        <f>IF(AND(CALCULO!AH23&lt;&gt;"", CALCULO!AH23&lt;0), CALCULO!AH23 * -1, 0)</f>
        <v>0</v>
      </c>
      <c r="AK26" s="155">
        <f>IF(AND(CALCULO!AI23&lt;&gt;"", CALCULO!AI23&lt;0), CALCULO!AI23 * -1, 0)</f>
        <v>0</v>
      </c>
      <c r="AL26" s="155">
        <f>IF(AND(CALCULO!AJ23&lt;&gt;"", CALCULO!AJ23&lt;0), CALCULO!AJ23 * -1, 0)</f>
        <v>0</v>
      </c>
      <c r="AM26" s="155">
        <f>IF(AND(CALCULO!AK23&lt;&gt;"", CALCULO!AK23&lt;0), CALCULO!AK23 * -1, 0)</f>
        <v>0</v>
      </c>
      <c r="AN26" s="155">
        <f>IF(AND(CALCULO!AL23&lt;&gt;"", CALCULO!AL23&lt;0), CALCULO!AL23 * -1, 0)</f>
        <v>0</v>
      </c>
      <c r="AO26" s="164">
        <f>IF(AND(CALCULO!AM23&lt;&gt;"", CALCULO!AM23&lt;0), CALCULO!AM23 * -1, 0)</f>
        <v>0</v>
      </c>
      <c r="AP26" s="321">
        <f>IF(E26-(ALTAS!C26+AQ26+AR26)&gt;=0,+E26-(ALTAS!C26+AQ26+AR26),"NEGATIVO")</f>
        <v>0</v>
      </c>
      <c r="AQ26" s="321">
        <f>+ALTAS!D26</f>
        <v>0</v>
      </c>
      <c r="AR26" s="321">
        <f>+ALTAS!E26</f>
        <v>0</v>
      </c>
      <c r="AS26">
        <f>IF(AND(CALCULO!AN23&lt;&gt;"", CALCULO!AN23&lt;0), CALCULO!AN23 * -1, 0)</f>
        <v>0</v>
      </c>
      <c r="AT26">
        <f>IF(AND(CALCULO!AO23&lt;&gt;"", CALCULO!AO23&lt;0), CALCULO!AO23 * -1, 0)</f>
        <v>0</v>
      </c>
      <c r="AU26">
        <f>IF(AND(CALCULO!AP23&lt;&gt;"", CALCULO!AP23&lt;0), CALCULO!AP23 * -1, 0)</f>
        <v>0</v>
      </c>
      <c r="AV26">
        <f>IF(AND(CALCULO!AQ23&lt;&gt;"", CALCULO!AQ23&lt;0), CALCULO!AQ23 * -1, 0)</f>
        <v>0</v>
      </c>
      <c r="AW26">
        <f>IF(AND(CALCULO!AT23&lt;&gt;"", CALCULO!AT23&lt;0), CALCULO!AT23 * -1, 0)</f>
        <v>0</v>
      </c>
      <c r="AX26">
        <f>IF(AND(CALCULO!AU23&lt;&gt;"", CALCULO!AU23&lt;0), CALCULO!AU23 * -1, 0)</f>
        <v>0</v>
      </c>
      <c r="AY26">
        <f t="shared" si="2"/>
        <v>0</v>
      </c>
      <c r="AZ26" s="146">
        <f t="shared" si="3"/>
        <v>0</v>
      </c>
      <c r="BB26" s="181">
        <f>IF(AND(CALCULO!AR22&lt;&gt;"", CALCULO!AR22&lt;0), CALCULO!AR22 * -1, 0)</f>
        <v>0</v>
      </c>
      <c r="BC26" s="181">
        <f>IF(AND(CALCULO!AS22&lt;&gt;"", CALCULO!AS22&lt;0), CALCULO!AS22 * -1, 0)</f>
        <v>0</v>
      </c>
      <c r="BG26" s="146">
        <f>IF(AND(CALCULO!AW22&lt;&gt;"", CALCULO!AW22&lt;0), CALCULO!WP22 * -1, 0)</f>
        <v>0</v>
      </c>
      <c r="BH26">
        <f>IF(AND(CALCULO!AX22&lt;&gt;"", CALCULO!AX22&lt;0), CALCULO!AX22 * -1, 0)</f>
        <v>0</v>
      </c>
    </row>
    <row r="27" spans="1:60" ht="33" x14ac:dyDescent="0.25">
      <c r="A27" s="374"/>
      <c r="B27" s="222"/>
      <c r="C27" s="440"/>
      <c r="D27" s="236" t="s">
        <v>54</v>
      </c>
      <c r="E27" s="205">
        <f t="shared" si="1"/>
        <v>1</v>
      </c>
      <c r="F27" s="155" t="str">
        <f>IF(AND(CALCULO!D24&lt;&gt;"", CALCULO!D24&lt;0), CALCULO!D24 * -1, "")</f>
        <v/>
      </c>
      <c r="G27" s="191" t="str">
        <f>IF(AND(CALCULO!E24&lt;&gt;"", CALCULO!E24&lt;0), CALCULO!E24 * -1, "")</f>
        <v/>
      </c>
      <c r="H27" s="265">
        <f>IF(AND(CALCULO!F24&lt;&gt;"", CALCULO!F24&lt;0), CALCULO!F24 * -1, 0)</f>
        <v>0</v>
      </c>
      <c r="I27" s="155">
        <f>IF(AND(CALCULO!G24&lt;&gt;"", CALCULO!G24&lt;0), CALCULO!G24 * -1, 0)</f>
        <v>0</v>
      </c>
      <c r="J27" s="155">
        <f>IF(AND(CALCULO!H24&lt;&gt;"", CALCULO!H24&lt;0), CALCULO!H24 * -1, 0)</f>
        <v>0</v>
      </c>
      <c r="K27" s="155">
        <f>IF(AND(CALCULO!I24&lt;&gt;"", CALCULO!I24&lt;0), CALCULO!I24 * -1, 0)</f>
        <v>0</v>
      </c>
      <c r="L27" s="155">
        <f>IF(AND(CALCULO!J24&lt;&gt;"", CALCULO!J24&lt;0), CALCULO!J24 * -1, 0)</f>
        <v>0</v>
      </c>
      <c r="M27" s="155">
        <f>IF(AND(CALCULO!K24&lt;&gt;"", CALCULO!K24&lt;0), CALCULO!K24 * -1, 0)</f>
        <v>0</v>
      </c>
      <c r="N27" s="155">
        <f>IF(AND(CALCULO!L24&lt;&gt;"", CALCULO!L24&lt;0), CALCULO!L24 * -1, 0)</f>
        <v>0</v>
      </c>
      <c r="O27" s="155">
        <f>IF(AND(CALCULO!M24&lt;&gt;"", CALCULO!M24&lt;0), CALCULO!M24 * -1, 0)</f>
        <v>0</v>
      </c>
      <c r="P27" s="155">
        <f>IF(AND(CALCULO!N24&lt;&gt;"", CALCULO!N24&lt;0), CALCULO!N24 * -1, 0)</f>
        <v>0</v>
      </c>
      <c r="Q27" s="155">
        <f>IF(AND(CALCULO!O24&lt;&gt;"", CALCULO!O24&lt;0), CALCULO!O24 * -1, 0)</f>
        <v>0</v>
      </c>
      <c r="R27" s="155">
        <f>IF(AND(CALCULO!P24&lt;&gt;"", CALCULO!P24&lt;0), CALCULO!P24 * -1, 0)</f>
        <v>0</v>
      </c>
      <c r="S27" s="155">
        <f>IF(AND(CALCULO!Q24&lt;&gt;"", CALCULO!Q24&lt;0), CALCULO!Q24 * -1, 0)</f>
        <v>0</v>
      </c>
      <c r="T27" s="155">
        <f>IF(AND(CALCULO!R24&lt;&gt;"", CALCULO!R24&lt;0), CALCULO!R24 * -1, 0)</f>
        <v>0</v>
      </c>
      <c r="U27" s="155">
        <f>IF(AND(CALCULO!S24&lt;&gt;"", CALCULO!S24&lt;0), CALCULO!S24 * -1, 0)</f>
        <v>0</v>
      </c>
      <c r="V27" s="155">
        <f>IF(AND(CALCULO!T24&lt;&gt;"", CALCULO!T24&lt;0), CALCULO!T24 * -1, 0)</f>
        <v>0</v>
      </c>
      <c r="W27" s="155">
        <f>IF(AND(CALCULO!U24&lt;&gt;"", CALCULO!U24&lt;0), CALCULO!U24 * -1, 0)</f>
        <v>0</v>
      </c>
      <c r="X27" s="155">
        <f>IF(AND(CALCULO!V24&lt;&gt;"", CALCULO!V24&lt;0), CALCULO!V24 * -1, 0)</f>
        <v>0</v>
      </c>
      <c r="Y27" s="155">
        <f>IF(AND(CALCULO!W24&lt;&gt;"", CALCULO!W24&lt;0), CALCULO!W24 * -1, 0)</f>
        <v>0</v>
      </c>
      <c r="Z27" s="155">
        <f>IF(AND(CALCULO!X24&lt;&gt;"", CALCULO!X24&lt;0), CALCULO!X24 * -1, 0)</f>
        <v>0</v>
      </c>
      <c r="AA27" s="155">
        <f>IF(AND(CALCULO!Y24&lt;&gt;"", CALCULO!Y24&lt;0), CALCULO!Y24 * -1, 0)</f>
        <v>0</v>
      </c>
      <c r="AB27" s="155">
        <f>IF(AND(CALCULO!Z24&lt;&gt;"", CALCULO!Z24&lt;0), CALCULO!Z24 * -1, 0)</f>
        <v>1</v>
      </c>
      <c r="AC27" s="155">
        <f>IF(AND(CALCULO!AA24&lt;&gt;"", CALCULO!AA24&lt;0), CALCULO!AA24 * -1, 0)</f>
        <v>0</v>
      </c>
      <c r="AD27" s="155">
        <f>IF(AND(CALCULO!AB24&lt;&gt;"", CALCULO!AB24&lt;0), CALCULO!AB24 * -1, 0)</f>
        <v>0</v>
      </c>
      <c r="AE27" s="155">
        <f>IF(AND(CALCULO!AC24&lt;&gt;"", CALCULO!AC24&lt;0), CALCULO!AC24 * -1, 0)</f>
        <v>0</v>
      </c>
      <c r="AF27" s="155">
        <f>IF(AND(CALCULO!AD24&lt;&gt;"", CALCULO!AD24&lt;0), CALCULO!AD24 * -1, 0)</f>
        <v>0</v>
      </c>
      <c r="AG27" s="155">
        <f>IF(AND(CALCULO!AE24&lt;&gt;"", CALCULO!AE24&lt;0), CALCULO!AE24 * -1, 0)</f>
        <v>0</v>
      </c>
      <c r="AH27" s="155">
        <f>IF(AND(CALCULO!AF24&lt;&gt;"", CALCULO!AF24&lt;0), CALCULO!AF24 * -1, 0)</f>
        <v>0</v>
      </c>
      <c r="AI27" s="155">
        <f>IF(AND(CALCULO!AG24&lt;&gt;"", CALCULO!AG24&lt;0), CALCULO!AG24 * -1, 0)</f>
        <v>0</v>
      </c>
      <c r="AJ27" s="155">
        <f>IF(AND(CALCULO!AH24&lt;&gt;"", CALCULO!AH24&lt;0), CALCULO!AH24 * -1, 0)</f>
        <v>0</v>
      </c>
      <c r="AK27" s="155">
        <f>IF(AND(CALCULO!AI24&lt;&gt;"", CALCULO!AI24&lt;0), CALCULO!AI24 * -1, 0)</f>
        <v>0</v>
      </c>
      <c r="AL27" s="155">
        <f>IF(AND(CALCULO!AJ24&lt;&gt;"", CALCULO!AJ24&lt;0), CALCULO!AJ24 * -1, 0)</f>
        <v>0</v>
      </c>
      <c r="AM27" s="155">
        <f>IF(AND(CALCULO!AK24&lt;&gt;"", CALCULO!AK24&lt;0), CALCULO!AK24 * -1, 0)</f>
        <v>0</v>
      </c>
      <c r="AN27" s="155">
        <f>IF(AND(CALCULO!AL24&lt;&gt;"", CALCULO!AL24&lt;0), CALCULO!AL24 * -1, 0)</f>
        <v>0</v>
      </c>
      <c r="AO27" s="164">
        <f>IF(AND(CALCULO!AM24&lt;&gt;"", CALCULO!AM24&lt;0), CALCULO!AM24 * -1, 0)</f>
        <v>0</v>
      </c>
      <c r="AP27" s="321">
        <f>IF(E27-(ALTAS!C27+AQ27+AR27)&gt;=0,+E27-(ALTAS!C27+AQ27+AR27),"NEGATIVO")</f>
        <v>1</v>
      </c>
      <c r="AQ27" s="321">
        <f>+ALTAS!D27</f>
        <v>0</v>
      </c>
      <c r="AR27" s="321">
        <f>+ALTAS!E27</f>
        <v>0</v>
      </c>
      <c r="AS27">
        <f>IF(AND(CALCULO!AN24&lt;&gt;"", CALCULO!AN24&lt;0), CALCULO!AN24 * -1, 0)</f>
        <v>0</v>
      </c>
      <c r="AT27">
        <f>IF(AND(CALCULO!AO24&lt;&gt;"", CALCULO!AO24&lt;0), CALCULO!AO24 * -1, 0)</f>
        <v>0</v>
      </c>
      <c r="AU27">
        <f>IF(AND(CALCULO!AP24&lt;&gt;"", CALCULO!AP24&lt;0), CALCULO!AP24 * -1, 0)</f>
        <v>1</v>
      </c>
      <c r="AV27">
        <f>IF(AND(CALCULO!AQ24&lt;&gt;"", CALCULO!AQ24&lt;0), CALCULO!AQ24 * -1, 0)</f>
        <v>0</v>
      </c>
      <c r="AW27">
        <f>IF(AND(CALCULO!AT24&lt;&gt;"", CALCULO!AT24&lt;0), CALCULO!AT24 * -1, 0)</f>
        <v>0</v>
      </c>
      <c r="AX27">
        <f>IF(AND(CALCULO!AU24&lt;&gt;"", CALCULO!AU24&lt;0), CALCULO!AU24 * -1, 0)</f>
        <v>0</v>
      </c>
      <c r="AY27">
        <f t="shared" si="2"/>
        <v>0</v>
      </c>
      <c r="AZ27" s="146">
        <f t="shared" si="3"/>
        <v>0</v>
      </c>
      <c r="BB27" s="181">
        <f>IF(AND(CALCULO!AR23&lt;&gt;"", CALCULO!AR23&lt;0), CALCULO!AR23 * -1, 0)</f>
        <v>0</v>
      </c>
      <c r="BC27" s="181">
        <f>IF(AND(CALCULO!AS23&lt;&gt;"", CALCULO!AS23&lt;0), CALCULO!AS23 * -1, 0)</f>
        <v>0</v>
      </c>
      <c r="BG27" s="146">
        <f>IF(AND(CALCULO!AW23&lt;&gt;"", CALCULO!AW23&lt;0), CALCULO!WP23 * -1, 0)</f>
        <v>0</v>
      </c>
      <c r="BH27">
        <f>IF(AND(CALCULO!AX23&lt;&gt;"", CALCULO!AX23&lt;0), CALCULO!AX23 * -1, 0)</f>
        <v>0</v>
      </c>
    </row>
    <row r="28" spans="1:60" ht="33.75" thickBot="1" x14ac:dyDescent="0.3">
      <c r="A28" s="375"/>
      <c r="B28" s="173"/>
      <c r="C28" s="442"/>
      <c r="D28" s="237" t="s">
        <v>55</v>
      </c>
      <c r="E28" s="251">
        <f t="shared" si="1"/>
        <v>3</v>
      </c>
      <c r="F28" s="184">
        <f>IF(AND(CALCULO!D25&lt;&gt;"", CALCULO!D25&lt;0), CALCULO!D25 * -1, "")</f>
        <v>1</v>
      </c>
      <c r="G28" s="252" t="str">
        <f>IF(AND(CALCULO!E25&lt;&gt;"", CALCULO!E25&lt;0), CALCULO!E25 * -1, "")</f>
        <v/>
      </c>
      <c r="H28" s="266">
        <f>IF(AND(CALCULO!F25&lt;&gt;"", CALCULO!F25&lt;0), CALCULO!F25 * -1, 0)</f>
        <v>0</v>
      </c>
      <c r="I28" s="184">
        <f>IF(AND(CALCULO!G25&lt;&gt;"", CALCULO!G25&lt;0), CALCULO!G25 * -1, 0)</f>
        <v>0</v>
      </c>
      <c r="J28" s="184">
        <f>IF(AND(CALCULO!H25&lt;&gt;"", CALCULO!H25&lt;0), CALCULO!H25 * -1, 0)</f>
        <v>0</v>
      </c>
      <c r="K28" s="184">
        <f>IF(AND(CALCULO!I25&lt;&gt;"", CALCULO!I25&lt;0), CALCULO!I25 * -1, 0)</f>
        <v>0</v>
      </c>
      <c r="L28" s="184">
        <f>IF(AND(CALCULO!J25&lt;&gt;"", CALCULO!J25&lt;0), CALCULO!J25 * -1, 0)</f>
        <v>0</v>
      </c>
      <c r="M28" s="184">
        <f>IF(AND(CALCULO!K25&lt;&gt;"", CALCULO!K25&lt;0), CALCULO!K25 * -1, 0)</f>
        <v>0</v>
      </c>
      <c r="N28" s="184">
        <f>IF(AND(CALCULO!L25&lt;&gt;"", CALCULO!L25&lt;0), CALCULO!L25 * -1, 0)</f>
        <v>0</v>
      </c>
      <c r="O28" s="184">
        <f>IF(AND(CALCULO!M25&lt;&gt;"", CALCULO!M25&lt;0), CALCULO!M25 * -1, 0)</f>
        <v>0</v>
      </c>
      <c r="P28" s="184">
        <f>IF(AND(CALCULO!N25&lt;&gt;"", CALCULO!N25&lt;0), CALCULO!N25 * -1, 0)</f>
        <v>0</v>
      </c>
      <c r="Q28" s="184">
        <f>IF(AND(CALCULO!O25&lt;&gt;"", CALCULO!O25&lt;0), CALCULO!O25 * -1, 0)</f>
        <v>0</v>
      </c>
      <c r="R28" s="184">
        <f>IF(AND(CALCULO!P25&lt;&gt;"", CALCULO!P25&lt;0), CALCULO!P25 * -1, 0)</f>
        <v>0</v>
      </c>
      <c r="S28" s="184">
        <f>IF(AND(CALCULO!Q25&lt;&gt;"", CALCULO!Q25&lt;0), CALCULO!Q25 * -1, 0)</f>
        <v>0</v>
      </c>
      <c r="T28" s="184">
        <f>IF(AND(CALCULO!R25&lt;&gt;"", CALCULO!R25&lt;0), CALCULO!R25 * -1, 0)</f>
        <v>0</v>
      </c>
      <c r="U28" s="184">
        <f>IF(AND(CALCULO!S25&lt;&gt;"", CALCULO!S25&lt;0), CALCULO!S25 * -1, 0)</f>
        <v>0</v>
      </c>
      <c r="V28" s="184">
        <f>IF(AND(CALCULO!T25&lt;&gt;"", CALCULO!T25&lt;0), CALCULO!T25 * -1, 0)</f>
        <v>0</v>
      </c>
      <c r="W28" s="184">
        <f>IF(AND(CALCULO!U25&lt;&gt;"", CALCULO!U25&lt;0), CALCULO!U25 * -1, 0)</f>
        <v>1</v>
      </c>
      <c r="X28" s="184">
        <f>IF(AND(CALCULO!V25&lt;&gt;"", CALCULO!V25&lt;0), CALCULO!V25 * -1, 0)</f>
        <v>0</v>
      </c>
      <c r="Y28" s="184">
        <f>IF(AND(CALCULO!W25&lt;&gt;"", CALCULO!W25&lt;0), CALCULO!W25 * -1, 0)</f>
        <v>0</v>
      </c>
      <c r="Z28" s="184">
        <f>IF(AND(CALCULO!X25&lt;&gt;"", CALCULO!X25&lt;0), CALCULO!X25 * -1, 0)</f>
        <v>1</v>
      </c>
      <c r="AA28" s="184">
        <f>IF(AND(CALCULO!Y25&lt;&gt;"", CALCULO!Y25&lt;0), CALCULO!Y25 * -1, 0)</f>
        <v>0</v>
      </c>
      <c r="AB28" s="184">
        <f>IF(AND(CALCULO!Z25&lt;&gt;"", CALCULO!Z25&lt;0), CALCULO!Z25 * -1, 0)</f>
        <v>1</v>
      </c>
      <c r="AC28" s="184">
        <f>IF(AND(CALCULO!AA25&lt;&gt;"", CALCULO!AA25&lt;0), CALCULO!AA25 * -1, 0)</f>
        <v>0</v>
      </c>
      <c r="AD28" s="184">
        <f>IF(AND(CALCULO!AB25&lt;&gt;"", CALCULO!AB25&lt;0), CALCULO!AB25 * -1, 0)</f>
        <v>0</v>
      </c>
      <c r="AE28" s="184">
        <f>IF(AND(CALCULO!AC25&lt;&gt;"", CALCULO!AC25&lt;0), CALCULO!AC25 * -1, 0)</f>
        <v>0</v>
      </c>
      <c r="AF28" s="184">
        <f>IF(AND(CALCULO!AD25&lt;&gt;"", CALCULO!AD25&lt;0), CALCULO!AD25 * -1, 0)</f>
        <v>0</v>
      </c>
      <c r="AG28" s="184">
        <f>IF(AND(CALCULO!AE25&lt;&gt;"", CALCULO!AE25&lt;0), CALCULO!AE25 * -1, 0)</f>
        <v>0</v>
      </c>
      <c r="AH28" s="184">
        <f>IF(AND(CALCULO!AF25&lt;&gt;"", CALCULO!AF25&lt;0), CALCULO!AF25 * -1, 0)</f>
        <v>0</v>
      </c>
      <c r="AI28" s="184">
        <f>IF(AND(CALCULO!AG25&lt;&gt;"", CALCULO!AG25&lt;0), CALCULO!AG25 * -1, 0)</f>
        <v>0</v>
      </c>
      <c r="AJ28" s="184">
        <f>IF(AND(CALCULO!AH25&lt;&gt;"", CALCULO!AH25&lt;0), CALCULO!AH25 * -1, 0)</f>
        <v>0</v>
      </c>
      <c r="AK28" s="184">
        <f>IF(AND(CALCULO!AI25&lt;&gt;"", CALCULO!AI25&lt;0), CALCULO!AI25 * -1, 0)</f>
        <v>0</v>
      </c>
      <c r="AL28" s="184">
        <f>IF(AND(CALCULO!AJ25&lt;&gt;"", CALCULO!AJ25&lt;0), CALCULO!AJ25 * -1, 0)</f>
        <v>0</v>
      </c>
      <c r="AM28" s="184">
        <f>IF(AND(CALCULO!AK25&lt;&gt;"", CALCULO!AK25&lt;0), CALCULO!AK25 * -1, 0)</f>
        <v>0</v>
      </c>
      <c r="AN28" s="184">
        <f>IF(AND(CALCULO!AL25&lt;&gt;"", CALCULO!AL25&lt;0), CALCULO!AL25 * -1, 0)</f>
        <v>0</v>
      </c>
      <c r="AO28" s="290">
        <f>IF(AND(CALCULO!AM25&lt;&gt;"", CALCULO!AM25&lt;0), CALCULO!AM25 * -1, 0)</f>
        <v>0</v>
      </c>
      <c r="AP28" s="321">
        <f>IF(E28-(ALTAS!C28+AQ28+AR28)&gt;=0,+E28-(ALTAS!C28+AQ28+AR28),"NEGATIVO")</f>
        <v>2</v>
      </c>
      <c r="AQ28" s="321">
        <f>+ALTAS!D28</f>
        <v>0</v>
      </c>
      <c r="AR28" s="321">
        <f>+ALTAS!E28</f>
        <v>1</v>
      </c>
      <c r="AS28">
        <f>IF(AND(CALCULO!AN25&lt;&gt;"", CALCULO!AN25&lt;0), CALCULO!AN25 * -1, 0)</f>
        <v>0</v>
      </c>
      <c r="AT28">
        <f>IF(AND(CALCULO!AO25&lt;&gt;"", CALCULO!AO25&lt;0), CALCULO!AO25 * -1, 0)</f>
        <v>0</v>
      </c>
      <c r="AU28">
        <f>IF(AND(CALCULO!AP25&lt;&gt;"", CALCULO!AP25&lt;0), CALCULO!AP25 * -1, 0)</f>
        <v>0</v>
      </c>
      <c r="AV28">
        <f>IF(AND(CALCULO!AQ25&lt;&gt;"", CALCULO!AQ25&lt;0), CALCULO!AQ25 * -1, 0)</f>
        <v>0</v>
      </c>
      <c r="AW28">
        <f>IF(AND(CALCULO!AT25&lt;&gt;"", CALCULO!AT25&lt;0), CALCULO!AT25 * -1, 0)</f>
        <v>0</v>
      </c>
      <c r="AX28">
        <f>IF(AND(CALCULO!AU25&lt;&gt;"", CALCULO!AU25&lt;0), CALCULO!AU25 * -1, 0)</f>
        <v>0</v>
      </c>
      <c r="AY28">
        <f t="shared" si="2"/>
        <v>0</v>
      </c>
      <c r="AZ28" s="146">
        <f t="shared" si="3"/>
        <v>0</v>
      </c>
      <c r="BB28" s="181">
        <f>IF(AND(CALCULO!AR24&lt;&gt;"", CALCULO!AR24&lt;0), CALCULO!AR24 * -1, 0)</f>
        <v>0</v>
      </c>
      <c r="BC28" s="181">
        <f>IF(AND(CALCULO!AS24&lt;&gt;"", CALCULO!AS24&lt;0), CALCULO!AS24 * -1, 0)</f>
        <v>0</v>
      </c>
      <c r="BG28" s="146">
        <f>IF(AND(CALCULO!AW24&lt;&gt;"", CALCULO!AW24&lt;0), CALCULO!WP24 * -1, 0)</f>
        <v>0</v>
      </c>
      <c r="BH28">
        <f>IF(AND(CALCULO!AX24&lt;&gt;"", CALCULO!AX24&lt;0), CALCULO!AX24 * -1, 0)</f>
        <v>0</v>
      </c>
    </row>
    <row r="29" spans="1:60" ht="31.5" x14ac:dyDescent="0.25">
      <c r="A29" s="375"/>
      <c r="B29" s="177"/>
      <c r="C29" s="439" t="s">
        <v>56</v>
      </c>
      <c r="D29" s="238" t="s">
        <v>57</v>
      </c>
      <c r="E29" s="204">
        <f t="shared" si="1"/>
        <v>2</v>
      </c>
      <c r="F29" s="189" t="str">
        <f>IF(AND(CALCULO!D26&lt;&gt;"", CALCULO!D26&lt;0), CALCULO!D26 * -1, "")</f>
        <v/>
      </c>
      <c r="G29" s="190" t="str">
        <f>IF(AND(CALCULO!E26&lt;&gt;"", CALCULO!E26&lt;0), CALCULO!E26 * -1, "")</f>
        <v/>
      </c>
      <c r="H29" s="264">
        <f>IF(AND(CALCULO!F26&lt;&gt;"", CALCULO!F26&lt;0), CALCULO!F26 * -1, 0)</f>
        <v>0</v>
      </c>
      <c r="I29" s="189">
        <f>IF(AND(CALCULO!G26&lt;&gt;"", CALCULO!G26&lt;0), CALCULO!G26 * -1, 0)</f>
        <v>0</v>
      </c>
      <c r="J29" s="189">
        <f>IF(AND(CALCULO!H26&lt;&gt;"", CALCULO!H26&lt;0), CALCULO!H26 * -1, 0)</f>
        <v>0</v>
      </c>
      <c r="K29" s="189">
        <f>IF(AND(CALCULO!I26&lt;&gt;"", CALCULO!I26&lt;0), CALCULO!I26 * -1, 0)</f>
        <v>0</v>
      </c>
      <c r="L29" s="189">
        <f>IF(AND(CALCULO!J26&lt;&gt;"", CALCULO!J26&lt;0), CALCULO!J26 * -1, 0)</f>
        <v>0</v>
      </c>
      <c r="M29" s="189">
        <f>IF(AND(CALCULO!K26&lt;&gt;"", CALCULO!K26&lt;0), CALCULO!K26 * -1, 0)</f>
        <v>0</v>
      </c>
      <c r="N29" s="189">
        <f>IF(AND(CALCULO!L26&lt;&gt;"", CALCULO!L26&lt;0), CALCULO!L26 * -1, 0)</f>
        <v>1</v>
      </c>
      <c r="O29" s="189">
        <f>IF(AND(CALCULO!M26&lt;&gt;"", CALCULO!M26&lt;0), CALCULO!M26 * -1, 0)</f>
        <v>0</v>
      </c>
      <c r="P29" s="184">
        <f>IF(AND(CALCULO!N26&lt;&gt;"", CALCULO!N26&lt;0), CALCULO!N26 * -1, 0)</f>
        <v>0</v>
      </c>
      <c r="Q29" s="184">
        <f>IF(AND(CALCULO!O26&lt;&gt;"", CALCULO!O26&lt;0), CALCULO!O26 * -1, 0)</f>
        <v>0</v>
      </c>
      <c r="R29" s="275">
        <f>IF(AND(CALCULO!P26&lt;&gt;"", CALCULO!P26&lt;0), CALCULO!P26 * -1, 0)</f>
        <v>0</v>
      </c>
      <c r="S29" s="275">
        <f>IF(AND(CALCULO!Q26&lt;&gt;"", CALCULO!Q26&lt;0), CALCULO!Q26 * -1, 0)</f>
        <v>0</v>
      </c>
      <c r="T29" s="275">
        <f>IF(AND(CALCULO!R26&lt;&gt;"", CALCULO!R26&lt;0), CALCULO!R26 * -1, 0)</f>
        <v>0</v>
      </c>
      <c r="U29" s="275">
        <f>IF(AND(CALCULO!S26&lt;&gt;"", CALCULO!S26&lt;0), CALCULO!S26 * -1, 0)</f>
        <v>1</v>
      </c>
      <c r="V29" s="275">
        <f>IF(AND(CALCULO!T26&lt;&gt;"", CALCULO!T26&lt;0), CALCULO!T26 * -1, 0)</f>
        <v>0</v>
      </c>
      <c r="W29" s="275">
        <f>IF(AND(CALCULO!U26&lt;&gt;"", CALCULO!U26&lt;0), CALCULO!U26 * -1, 0)</f>
        <v>0</v>
      </c>
      <c r="X29" s="275">
        <f>IF(AND(CALCULO!V26&lt;&gt;"", CALCULO!V26&lt;0), CALCULO!V26 * -1, 0)</f>
        <v>0</v>
      </c>
      <c r="Y29" s="275">
        <f>IF(AND(CALCULO!W26&lt;&gt;"", CALCULO!W26&lt;0), CALCULO!W26 * -1, 0)</f>
        <v>0</v>
      </c>
      <c r="Z29" s="275">
        <f>IF(AND(CALCULO!X26&lt;&gt;"", CALCULO!X26&lt;0), CALCULO!X26 * -1, 0)</f>
        <v>0</v>
      </c>
      <c r="AA29" s="275">
        <f>IF(AND(CALCULO!Y26&lt;&gt;"", CALCULO!Y26&lt;0), CALCULO!Y26 * -1, 0)</f>
        <v>0</v>
      </c>
      <c r="AB29" s="275">
        <f>IF(AND(CALCULO!Z26&lt;&gt;"", CALCULO!Z26&lt;0), CALCULO!Z26 * -1, 0)</f>
        <v>0</v>
      </c>
      <c r="AC29" s="275">
        <f>IF(AND(CALCULO!AA26&lt;&gt;"", CALCULO!AA26&lt;0), CALCULO!AA26 * -1, 0)</f>
        <v>0</v>
      </c>
      <c r="AD29" s="275">
        <f>IF(AND(CALCULO!AB26&lt;&gt;"", CALCULO!AB26&lt;0), CALCULO!AB26 * -1, 0)</f>
        <v>0</v>
      </c>
      <c r="AE29" s="275">
        <f>IF(AND(CALCULO!AC26&lt;&gt;"", CALCULO!AC26&lt;0), CALCULO!AC26 * -1, 0)</f>
        <v>0</v>
      </c>
      <c r="AF29" s="275">
        <f>IF(AND(CALCULO!AD26&lt;&gt;"", CALCULO!AD26&lt;0), CALCULO!AD26 * -1, 0)</f>
        <v>0</v>
      </c>
      <c r="AG29" s="275">
        <f>IF(AND(CALCULO!AE26&lt;&gt;"", CALCULO!AE26&lt;0), CALCULO!AE26 * -1, 0)</f>
        <v>0</v>
      </c>
      <c r="AH29" s="275">
        <f>IF(AND(CALCULO!AF26&lt;&gt;"", CALCULO!AF26&lt;0), CALCULO!AF26 * -1, 0)</f>
        <v>0</v>
      </c>
      <c r="AI29" s="275">
        <f>IF(AND(CALCULO!AG26&lt;&gt;"", CALCULO!AG26&lt;0), CALCULO!AG26 * -1, 0)</f>
        <v>0</v>
      </c>
      <c r="AJ29" s="275">
        <f>IF(AND(CALCULO!AH26&lt;&gt;"", CALCULO!AH26&lt;0), CALCULO!AH26 * -1, 0)</f>
        <v>0</v>
      </c>
      <c r="AK29" s="275">
        <f>IF(AND(CALCULO!AI26&lt;&gt;"", CALCULO!AI26&lt;0), CALCULO!AI26 * -1, 0)</f>
        <v>0</v>
      </c>
      <c r="AL29" s="275">
        <f>IF(AND(CALCULO!AJ26&lt;&gt;"", CALCULO!AJ26&lt;0), CALCULO!AJ26 * -1, 0)</f>
        <v>0</v>
      </c>
      <c r="AM29" s="275">
        <f>IF(AND(CALCULO!AK26&lt;&gt;"", CALCULO!AK26&lt;0), CALCULO!AK26 * -1, 0)</f>
        <v>0</v>
      </c>
      <c r="AN29" s="275">
        <f>IF(AND(CALCULO!AL26&lt;&gt;"", CALCULO!AL26&lt;0), CALCULO!AL26 * -1, 0)</f>
        <v>0</v>
      </c>
      <c r="AO29" s="297">
        <f>IF(AND(CALCULO!AM26&lt;&gt;"", CALCULO!AM26&lt;0), CALCULO!AM26 * -1, 0)</f>
        <v>0</v>
      </c>
      <c r="AP29" s="321">
        <f>IF(E29-(ALTAS!C29+AQ29+AR29)&gt;=0,+E29-(ALTAS!C29+AQ29+AR29),"NEGATIVO")</f>
        <v>2</v>
      </c>
      <c r="AQ29" s="321">
        <f>+ALTAS!D29</f>
        <v>0</v>
      </c>
      <c r="AR29" s="321">
        <f>+ALTAS!E29</f>
        <v>0</v>
      </c>
      <c r="AS29" s="260">
        <f>IF(AND(CALCULO!AN26&lt;&gt;"", CALCULO!AN26&lt;0), CALCULO!AN26 * -1, 0)</f>
        <v>0</v>
      </c>
      <c r="AT29" s="294">
        <f>IF(AND(CALCULO!AO26&lt;&gt;"", CALCULO!AO26&lt;0), CALCULO!AO26 * -1, 0)</f>
        <v>0</v>
      </c>
      <c r="AU29" s="210">
        <f>IF(AND(CALCULO!AP26&lt;&gt;"", CALCULO!AP26&lt;0), CALCULO!AP26 * -1, 0)</f>
        <v>0</v>
      </c>
      <c r="AV29" s="210">
        <f>IF(AND(CALCULO!AQ26&lt;&gt;"", CALCULO!AQ26&lt;0), CALCULO!AQ26 * -1, 0)</f>
        <v>0</v>
      </c>
      <c r="AW29" s="210">
        <f>IF(AND(CALCULO!AT26&lt;&gt;"", CALCULO!AT26&lt;0), CALCULO!AT26 * -1, 0)</f>
        <v>1</v>
      </c>
      <c r="AX29" s="210">
        <f>IF(AND(CALCULO!AU26&lt;&gt;"", CALCULO!AU26&lt;0), CALCULO!AU26 * -1, 0)</f>
        <v>0</v>
      </c>
      <c r="AY29" s="210">
        <f t="shared" si="2"/>
        <v>0</v>
      </c>
      <c r="AZ29" s="146">
        <f t="shared" si="3"/>
        <v>0</v>
      </c>
      <c r="BB29" s="181">
        <f>IF(AND(CALCULO!AR25&lt;&gt;"", CALCULO!AR25&lt;0), CALCULO!AR25 * -1, 0)</f>
        <v>0</v>
      </c>
      <c r="BC29" s="181">
        <f>IF(AND(CALCULO!AS25&lt;&gt;"", CALCULO!AS25&lt;0), CALCULO!AS25 * -1, 0)</f>
        <v>0</v>
      </c>
      <c r="BG29" s="146">
        <f>IF(AND(CALCULO!AW25&lt;&gt;"", CALCULO!AW25&lt;0), CALCULO!WP25 * -1, 0)</f>
        <v>0</v>
      </c>
      <c r="BH29">
        <f>IF(AND(CALCULO!AX25&lt;&gt;"", CALCULO!AX25&lt;0), CALCULO!AX25 * -1, 0)</f>
        <v>0</v>
      </c>
    </row>
    <row r="30" spans="1:60" ht="52.5" x14ac:dyDescent="0.25">
      <c r="A30" s="375"/>
      <c r="B30" s="177"/>
      <c r="C30" s="443"/>
      <c r="D30" s="239" t="s">
        <v>58</v>
      </c>
      <c r="E30" s="205">
        <f t="shared" si="1"/>
        <v>0</v>
      </c>
      <c r="F30" s="155" t="str">
        <f>IF(AND(CALCULO!D27&lt;&gt;"", CALCULO!D27&lt;0), CALCULO!D27 * -1, "")</f>
        <v/>
      </c>
      <c r="G30" s="191" t="str">
        <f>IF(AND(CALCULO!E27&lt;&gt;"", CALCULO!E27&lt;0), CALCULO!E27 * -1, "")</f>
        <v/>
      </c>
      <c r="H30" s="265">
        <f>IF(AND(CALCULO!F27&lt;&gt;"", CALCULO!F27&lt;0), CALCULO!F27 * -1, 0)</f>
        <v>0</v>
      </c>
      <c r="I30" s="155">
        <f>IF(AND(CALCULO!G27&lt;&gt;"", CALCULO!G27&lt;0), CALCULO!G27 * -1, 0)</f>
        <v>0</v>
      </c>
      <c r="J30" s="155">
        <f>IF(AND(CALCULO!H27&lt;&gt;"", CALCULO!H27&lt;0), CALCULO!H27 * -1, 0)</f>
        <v>0</v>
      </c>
      <c r="K30" s="155">
        <f>IF(AND(CALCULO!I27&lt;&gt;"", CALCULO!I27&lt;0), CALCULO!I27 * -1, 0)</f>
        <v>0</v>
      </c>
      <c r="L30" s="155">
        <f>IF(AND(CALCULO!J27&lt;&gt;"", CALCULO!J27&lt;0), CALCULO!J27 * -1, 0)</f>
        <v>0</v>
      </c>
      <c r="M30" s="155">
        <f>IF(AND(CALCULO!K27&lt;&gt;"", CALCULO!K27&lt;0), CALCULO!K27 * -1, 0)</f>
        <v>0</v>
      </c>
      <c r="N30" s="155">
        <f>IF(AND(CALCULO!L27&lt;&gt;"", CALCULO!L27&lt;0), CALCULO!L27 * -1, 0)</f>
        <v>0</v>
      </c>
      <c r="O30" s="155">
        <f>IF(AND(CALCULO!M27&lt;&gt;"", CALCULO!M27&lt;0), CALCULO!M27 * -1, 0)</f>
        <v>0</v>
      </c>
      <c r="P30" s="155">
        <f>IF(AND(CALCULO!N27&lt;&gt;"", CALCULO!N27&lt;0), CALCULO!N27 * -1, 0)</f>
        <v>0</v>
      </c>
      <c r="Q30" s="155">
        <f>IF(AND(CALCULO!O27&lt;&gt;"", CALCULO!O27&lt;0), CALCULO!O27 * -1, 0)</f>
        <v>0</v>
      </c>
      <c r="R30" s="277">
        <f>IF(AND(CALCULO!P27&lt;&gt;"", CALCULO!P27&lt;0), CALCULO!P27 * -1, 0)</f>
        <v>0</v>
      </c>
      <c r="S30" s="277">
        <f>IF(AND(CALCULO!Q27&lt;&gt;"", CALCULO!Q27&lt;0), CALCULO!Q27 * -1, 0)</f>
        <v>0</v>
      </c>
      <c r="T30" s="277">
        <f>IF(AND(CALCULO!R27&lt;&gt;"", CALCULO!R27&lt;0), CALCULO!R27 * -1, 0)</f>
        <v>0</v>
      </c>
      <c r="U30" s="277">
        <f>IF(AND(CALCULO!S27&lt;&gt;"", CALCULO!S27&lt;0), CALCULO!S27 * -1, 0)</f>
        <v>0</v>
      </c>
      <c r="V30" s="277">
        <f>IF(AND(CALCULO!T27&lt;&gt;"", CALCULO!T27&lt;0), CALCULO!T27 * -1, 0)</f>
        <v>0</v>
      </c>
      <c r="W30" s="277">
        <f>IF(AND(CALCULO!U27&lt;&gt;"", CALCULO!U27&lt;0), CALCULO!U27 * -1, 0)</f>
        <v>0</v>
      </c>
      <c r="X30" s="277">
        <f>IF(AND(CALCULO!V27&lt;&gt;"", CALCULO!V27&lt;0), CALCULO!V27 * -1, 0)</f>
        <v>0</v>
      </c>
      <c r="Y30" s="277">
        <f>IF(AND(CALCULO!W27&lt;&gt;"", CALCULO!W27&lt;0), CALCULO!W27 * -1, 0)</f>
        <v>0</v>
      </c>
      <c r="Z30" s="277">
        <f>IF(AND(CALCULO!X27&lt;&gt;"", CALCULO!X27&lt;0), CALCULO!X27 * -1, 0)</f>
        <v>0</v>
      </c>
      <c r="AA30" s="277">
        <f>IF(AND(CALCULO!Y27&lt;&gt;"", CALCULO!Y27&lt;0), CALCULO!Y27 * -1, 0)</f>
        <v>0</v>
      </c>
      <c r="AB30" s="277">
        <f>IF(AND(CALCULO!Z27&lt;&gt;"", CALCULO!Z27&lt;0), CALCULO!Z27 * -1, 0)</f>
        <v>0</v>
      </c>
      <c r="AC30" s="277">
        <f>IF(AND(CALCULO!AA27&lt;&gt;"", CALCULO!AA27&lt;0), CALCULO!AA27 * -1, 0)</f>
        <v>0</v>
      </c>
      <c r="AD30" s="277">
        <f>IF(AND(CALCULO!AB27&lt;&gt;"", CALCULO!AB27&lt;0), CALCULO!AB27 * -1, 0)</f>
        <v>0</v>
      </c>
      <c r="AE30" s="277">
        <f>IF(AND(CALCULO!AC27&lt;&gt;"", CALCULO!AC27&lt;0), CALCULO!AC27 * -1, 0)</f>
        <v>0</v>
      </c>
      <c r="AF30" s="277">
        <f>IF(AND(CALCULO!AD27&lt;&gt;"", CALCULO!AD27&lt;0), CALCULO!AD27 * -1, 0)</f>
        <v>0</v>
      </c>
      <c r="AG30" s="277">
        <f>IF(AND(CALCULO!AE27&lt;&gt;"", CALCULO!AE27&lt;0), CALCULO!AE27 * -1, 0)</f>
        <v>0</v>
      </c>
      <c r="AH30" s="277">
        <f>IF(AND(CALCULO!AF27&lt;&gt;"", CALCULO!AF27&lt;0), CALCULO!AF27 * -1, 0)</f>
        <v>0</v>
      </c>
      <c r="AI30" s="277">
        <f>IF(AND(CALCULO!AG27&lt;&gt;"", CALCULO!AG27&lt;0), CALCULO!AG27 * -1, 0)</f>
        <v>0</v>
      </c>
      <c r="AJ30" s="277">
        <f>IF(AND(CALCULO!AH27&lt;&gt;"", CALCULO!AH27&lt;0), CALCULO!AH27 * -1, 0)</f>
        <v>0</v>
      </c>
      <c r="AK30" s="277">
        <f>IF(AND(CALCULO!AI27&lt;&gt;"", CALCULO!AI27&lt;0), CALCULO!AI27 * -1, 0)</f>
        <v>0</v>
      </c>
      <c r="AL30" s="277">
        <f>IF(AND(CALCULO!AJ27&lt;&gt;"", CALCULO!AJ27&lt;0), CALCULO!AJ27 * -1, 0)</f>
        <v>0</v>
      </c>
      <c r="AM30" s="277">
        <f>IF(AND(CALCULO!AK27&lt;&gt;"", CALCULO!AK27&lt;0), CALCULO!AK27 * -1, 0)</f>
        <v>0</v>
      </c>
      <c r="AN30" s="277">
        <f>IF(AND(CALCULO!AL27&lt;&gt;"", CALCULO!AL27&lt;0), CALCULO!AL27 * -1, 0)</f>
        <v>0</v>
      </c>
      <c r="AO30" s="298">
        <f>IF(AND(CALCULO!AM27&lt;&gt;"", CALCULO!AM27&lt;0), CALCULO!AM27 * -1, 0)</f>
        <v>0</v>
      </c>
      <c r="AP30" s="321">
        <f>IF(E30-(ALTAS!C30+AQ30+AR30)&gt;=0,+E30-(ALTAS!C30+AQ30+AR30),"NEGATIVO")</f>
        <v>0</v>
      </c>
      <c r="AQ30" s="321">
        <f>+ALTAS!D30</f>
        <v>0</v>
      </c>
      <c r="AR30" s="321">
        <f>+ALTAS!E30</f>
        <v>0</v>
      </c>
      <c r="AS30" s="259">
        <f>IF(AND(CALCULO!AN27&lt;&gt;"", CALCULO!AN27&lt;0), CALCULO!AN27 * -1, 0)</f>
        <v>0</v>
      </c>
      <c r="AT30" s="295">
        <f>IF(AND(CALCULO!AO27&lt;&gt;"", CALCULO!AO27&lt;0), CALCULO!AO27 * -1, 0)</f>
        <v>0</v>
      </c>
      <c r="AU30" s="154">
        <f>IF(AND(CALCULO!AP27&lt;&gt;"", CALCULO!AP27&lt;0), CALCULO!AP27 * -1, 0)</f>
        <v>0</v>
      </c>
      <c r="AV30" s="154">
        <f>IF(AND(CALCULO!AQ27&lt;&gt;"", CALCULO!AQ27&lt;0), CALCULO!AQ27 * -1, 0)</f>
        <v>0</v>
      </c>
      <c r="AW30" s="154">
        <f>IF(AND(CALCULO!AT27&lt;&gt;"", CALCULO!AT27&lt;0), CALCULO!AT27 * -1, 0)</f>
        <v>0</v>
      </c>
      <c r="AX30" s="154">
        <f>IF(AND(CALCULO!AU27&lt;&gt;"", CALCULO!AU27&lt;0), CALCULO!AU27 * -1, 0)</f>
        <v>0</v>
      </c>
      <c r="AY30" s="154">
        <f t="shared" si="2"/>
        <v>0</v>
      </c>
      <c r="AZ30" s="146">
        <f t="shared" si="3"/>
        <v>0</v>
      </c>
      <c r="BB30" s="181">
        <f>IF(AND(CALCULO!AR26&lt;&gt;"", CALCULO!AR26&lt;0), CALCULO!AR26 * -1, 0)</f>
        <v>0</v>
      </c>
      <c r="BC30" s="181">
        <f>IF(AND(CALCULO!AS26&lt;&gt;"", CALCULO!AS26&lt;0), CALCULO!AS26 * -1, 0)</f>
        <v>0</v>
      </c>
      <c r="BG30" s="146">
        <f>IF(AND(CALCULO!AW26&lt;&gt;"", CALCULO!AW26&lt;0), CALCULO!WP26 * -1, 0)</f>
        <v>0</v>
      </c>
      <c r="BH30">
        <f>IF(AND(CALCULO!AX26&lt;&gt;"", CALCULO!AX26&lt;0), CALCULO!AX26 * -1, 0)</f>
        <v>0</v>
      </c>
    </row>
    <row r="31" spans="1:60" ht="63.75" thickBot="1" x14ac:dyDescent="0.3">
      <c r="A31" s="376"/>
      <c r="B31" s="211"/>
      <c r="C31" s="443"/>
      <c r="D31" s="239" t="s">
        <v>59</v>
      </c>
      <c r="E31" s="205">
        <f t="shared" si="1"/>
        <v>0</v>
      </c>
      <c r="F31" s="155" t="str">
        <f>IF(AND(CALCULO!D28&lt;&gt;"", CALCULO!D28&lt;0), CALCULO!D28 * -1, "")</f>
        <v/>
      </c>
      <c r="G31" s="191" t="str">
        <f>IF(AND(CALCULO!E28&lt;&gt;"", CALCULO!E28&lt;0), CALCULO!E28 * -1, "")</f>
        <v/>
      </c>
      <c r="H31" s="265">
        <f>IF(AND(CALCULO!F28&lt;&gt;"", CALCULO!F28&lt;0), CALCULO!F28 * -1, 0)</f>
        <v>0</v>
      </c>
      <c r="I31" s="155">
        <f>IF(AND(CALCULO!G28&lt;&gt;"", CALCULO!G28&lt;0), CALCULO!G28 * -1, 0)</f>
        <v>0</v>
      </c>
      <c r="J31" s="155">
        <f>IF(AND(CALCULO!H28&lt;&gt;"", CALCULO!H28&lt;0), CALCULO!H28 * -1, 0)</f>
        <v>0</v>
      </c>
      <c r="K31" s="155">
        <f>IF(AND(CALCULO!I28&lt;&gt;"", CALCULO!I28&lt;0), CALCULO!I28 * -1, 0)</f>
        <v>0</v>
      </c>
      <c r="L31" s="155">
        <f>IF(AND(CALCULO!J28&lt;&gt;"", CALCULO!J28&lt;0), CALCULO!J28 * -1, 0)</f>
        <v>0</v>
      </c>
      <c r="M31" s="155">
        <f>IF(AND(CALCULO!K28&lt;&gt;"", CALCULO!K28&lt;0), CALCULO!K28 * -1, 0)</f>
        <v>0</v>
      </c>
      <c r="N31" s="155">
        <f>IF(AND(CALCULO!L28&lt;&gt;"", CALCULO!L28&lt;0), CALCULO!L28 * -1, 0)</f>
        <v>0</v>
      </c>
      <c r="O31" s="155">
        <f>IF(AND(CALCULO!M28&lt;&gt;"", CALCULO!M28&lt;0), CALCULO!M28 * -1, 0)</f>
        <v>0</v>
      </c>
      <c r="P31" s="155">
        <f>IF(AND(CALCULO!N28&lt;&gt;"", CALCULO!N28&lt;0), CALCULO!N28 * -1, 0)</f>
        <v>0</v>
      </c>
      <c r="Q31" s="155">
        <f>IF(AND(CALCULO!O28&lt;&gt;"", CALCULO!O28&lt;0), CALCULO!O28 * -1, 0)</f>
        <v>0</v>
      </c>
      <c r="R31" s="277">
        <f>IF(AND(CALCULO!P28&lt;&gt;"", CALCULO!P28&lt;0), CALCULO!P28 * -1, 0)</f>
        <v>0</v>
      </c>
      <c r="S31" s="277">
        <f>IF(AND(CALCULO!Q28&lt;&gt;"", CALCULO!Q28&lt;0), CALCULO!Q28 * -1, 0)</f>
        <v>0</v>
      </c>
      <c r="T31" s="277">
        <f>IF(AND(CALCULO!R28&lt;&gt;"", CALCULO!R28&lt;0), CALCULO!R28 * -1, 0)</f>
        <v>0</v>
      </c>
      <c r="U31" s="277">
        <f>IF(AND(CALCULO!S28&lt;&gt;"", CALCULO!S28&lt;0), CALCULO!S28 * -1, 0)</f>
        <v>0</v>
      </c>
      <c r="V31" s="277">
        <f>IF(AND(CALCULO!T28&lt;&gt;"", CALCULO!T28&lt;0), CALCULO!T28 * -1, 0)</f>
        <v>0</v>
      </c>
      <c r="W31" s="277">
        <f>IF(AND(CALCULO!U28&lt;&gt;"", CALCULO!U28&lt;0), CALCULO!U28 * -1, 0)</f>
        <v>0</v>
      </c>
      <c r="X31" s="277">
        <f>IF(AND(CALCULO!V28&lt;&gt;"", CALCULO!V28&lt;0), CALCULO!V28 * -1, 0)</f>
        <v>0</v>
      </c>
      <c r="Y31" s="277">
        <f>IF(AND(CALCULO!W28&lt;&gt;"", CALCULO!W28&lt;0), CALCULO!W28 * -1, 0)</f>
        <v>0</v>
      </c>
      <c r="Z31" s="277">
        <f>IF(AND(CALCULO!X28&lt;&gt;"", CALCULO!X28&lt;0), CALCULO!X28 * -1, 0)</f>
        <v>0</v>
      </c>
      <c r="AA31" s="277">
        <f>IF(AND(CALCULO!Y28&lt;&gt;"", CALCULO!Y28&lt;0), CALCULO!Y28 * -1, 0)</f>
        <v>0</v>
      </c>
      <c r="AB31" s="277">
        <f>IF(AND(CALCULO!Z28&lt;&gt;"", CALCULO!Z28&lt;0), CALCULO!Z28 * -1, 0)</f>
        <v>0</v>
      </c>
      <c r="AC31" s="277">
        <f>IF(AND(CALCULO!AA28&lt;&gt;"", CALCULO!AA28&lt;0), CALCULO!AA28 * -1, 0)</f>
        <v>0</v>
      </c>
      <c r="AD31" s="277">
        <f>IF(AND(CALCULO!AB28&lt;&gt;"", CALCULO!AB28&lt;0), CALCULO!AB28 * -1, 0)</f>
        <v>0</v>
      </c>
      <c r="AE31" s="277">
        <f>IF(AND(CALCULO!AC28&lt;&gt;"", CALCULO!AC28&lt;0), CALCULO!AC28 * -1, 0)</f>
        <v>0</v>
      </c>
      <c r="AF31" s="277">
        <f>IF(AND(CALCULO!AD28&lt;&gt;"", CALCULO!AD28&lt;0), CALCULO!AD28 * -1, 0)</f>
        <v>0</v>
      </c>
      <c r="AG31" s="277">
        <f>IF(AND(CALCULO!AE28&lt;&gt;"", CALCULO!AE28&lt;0), CALCULO!AE28 * -1, 0)</f>
        <v>0</v>
      </c>
      <c r="AH31" s="277">
        <f>IF(AND(CALCULO!AF28&lt;&gt;"", CALCULO!AF28&lt;0), CALCULO!AF28 * -1, 0)</f>
        <v>0</v>
      </c>
      <c r="AI31" s="277">
        <f>IF(AND(CALCULO!AG28&lt;&gt;"", CALCULO!AG28&lt;0), CALCULO!AG28 * -1, 0)</f>
        <v>0</v>
      </c>
      <c r="AJ31" s="277">
        <f>IF(AND(CALCULO!AH28&lt;&gt;"", CALCULO!AH28&lt;0), CALCULO!AH28 * -1, 0)</f>
        <v>0</v>
      </c>
      <c r="AK31" s="277">
        <f>IF(AND(CALCULO!AI28&lt;&gt;"", CALCULO!AI28&lt;0), CALCULO!AI28 * -1, 0)</f>
        <v>0</v>
      </c>
      <c r="AL31" s="277">
        <f>IF(AND(CALCULO!AJ28&lt;&gt;"", CALCULO!AJ28&lt;0), CALCULO!AJ28 * -1, 0)</f>
        <v>0</v>
      </c>
      <c r="AM31" s="277">
        <f>IF(AND(CALCULO!AK28&lt;&gt;"", CALCULO!AK28&lt;0), CALCULO!AK28 * -1, 0)</f>
        <v>0</v>
      </c>
      <c r="AN31" s="277">
        <f>IF(AND(CALCULO!AL28&lt;&gt;"", CALCULO!AL28&lt;0), CALCULO!AL28 * -1, 0)</f>
        <v>0</v>
      </c>
      <c r="AO31" s="298">
        <f>IF(AND(CALCULO!AM28&lt;&gt;"", CALCULO!AM28&lt;0), CALCULO!AM28 * -1, 0)</f>
        <v>0</v>
      </c>
      <c r="AP31" s="321">
        <f>IF(E31-(ALTAS!C31+AQ31+AR31)&gt;=0,+E31-(ALTAS!C31+AQ31+AR31),"NEGATIVO")</f>
        <v>0</v>
      </c>
      <c r="AQ31" s="321">
        <f>+ALTAS!D31</f>
        <v>0</v>
      </c>
      <c r="AR31" s="321">
        <f>+ALTAS!E31</f>
        <v>0</v>
      </c>
      <c r="AS31" s="259">
        <f>IF(AND(CALCULO!AN28&lt;&gt;"", CALCULO!AN28&lt;0), CALCULO!AN28 * -1, 0)</f>
        <v>0</v>
      </c>
      <c r="AT31" s="295">
        <f>IF(AND(CALCULO!AO28&lt;&gt;"", CALCULO!AO28&lt;0), CALCULO!AO28 * -1, 0)</f>
        <v>0</v>
      </c>
      <c r="AU31" s="154">
        <f>IF(AND(CALCULO!AP28&lt;&gt;"", CALCULO!AP28&lt;0), CALCULO!AP28 * -1, 0)</f>
        <v>0</v>
      </c>
      <c r="AV31" s="154">
        <f>IF(AND(CALCULO!AQ28&lt;&gt;"", CALCULO!AQ28&lt;0), CALCULO!AQ28 * -1, 0)</f>
        <v>0</v>
      </c>
      <c r="AW31" s="154">
        <f>IF(AND(CALCULO!AT28&lt;&gt;"", CALCULO!AT28&lt;0), CALCULO!AT28 * -1, 0)</f>
        <v>0</v>
      </c>
      <c r="AX31" s="154">
        <f>IF(AND(CALCULO!AU28&lt;&gt;"", CALCULO!AU28&lt;0), CALCULO!AU28 * -1, 0)</f>
        <v>0</v>
      </c>
      <c r="AY31" s="154">
        <f t="shared" si="2"/>
        <v>0</v>
      </c>
      <c r="AZ31" s="146">
        <f t="shared" si="3"/>
        <v>0</v>
      </c>
      <c r="BB31" s="181">
        <f>IF(AND(CALCULO!AR27&lt;&gt;"", CALCULO!AR27&lt;0), CALCULO!AR27 * -1, 0)</f>
        <v>0</v>
      </c>
      <c r="BC31" s="181">
        <f>IF(AND(CALCULO!AS27&lt;&gt;"", CALCULO!AS27&lt;0), CALCULO!AS27 * -1, 0)</f>
        <v>0</v>
      </c>
      <c r="BG31" s="146">
        <f>IF(AND(CALCULO!AW27&lt;&gt;"", CALCULO!AW27&lt;0), CALCULO!WP27 * -1, 0)</f>
        <v>0</v>
      </c>
      <c r="BH31">
        <f>IF(AND(CALCULO!AX27&lt;&gt;"", CALCULO!AX27&lt;0), CALCULO!AX27 * -1, 0)</f>
        <v>0</v>
      </c>
    </row>
    <row r="32" spans="1:60" ht="116.25" thickBot="1" x14ac:dyDescent="0.3">
      <c r="A32" s="374"/>
      <c r="B32" s="208"/>
      <c r="C32" s="444"/>
      <c r="D32" s="240" t="s">
        <v>60</v>
      </c>
      <c r="E32" s="251">
        <f t="shared" si="1"/>
        <v>1</v>
      </c>
      <c r="F32" s="184">
        <f>IF(AND(CALCULO!D29&lt;&gt;"", CALCULO!D29&lt;0), CALCULO!D29 * -1, "")</f>
        <v>1</v>
      </c>
      <c r="G32" s="252" t="str">
        <f>IF(AND(CALCULO!E29&lt;&gt;"", CALCULO!E29&lt;0), CALCULO!E29 * -1, "")</f>
        <v/>
      </c>
      <c r="H32" s="266">
        <f>IF(AND(CALCULO!F29&lt;&gt;"", CALCULO!F29&lt;0), CALCULO!F29 * -1, 0)</f>
        <v>0</v>
      </c>
      <c r="I32" s="184">
        <f>IF(AND(CALCULO!G29&lt;&gt;"", CALCULO!G29&lt;0), CALCULO!G29 * -1, 0)</f>
        <v>0</v>
      </c>
      <c r="J32" s="184">
        <f>IF(AND(CALCULO!H29&lt;&gt;"", CALCULO!H29&lt;0), CALCULO!H29 * -1, 0)</f>
        <v>0</v>
      </c>
      <c r="K32" s="184">
        <f>IF(AND(CALCULO!I29&lt;&gt;"", CALCULO!I29&lt;0), CALCULO!I29 * -1, 0)</f>
        <v>0</v>
      </c>
      <c r="L32" s="184">
        <f>IF(AND(CALCULO!J29&lt;&gt;"", CALCULO!J29&lt;0), CALCULO!J29 * -1, 0)</f>
        <v>0</v>
      </c>
      <c r="M32" s="184">
        <f>IF(AND(CALCULO!K29&lt;&gt;"", CALCULO!K29&lt;0), CALCULO!K29 * -1, 0)</f>
        <v>0</v>
      </c>
      <c r="N32" s="184">
        <f>IF(AND(CALCULO!L29&lt;&gt;"", CALCULO!L29&lt;0), CALCULO!L29 * -1, 0)</f>
        <v>1</v>
      </c>
      <c r="O32" s="184">
        <f>IF(AND(CALCULO!M29&lt;&gt;"", CALCULO!M29&lt;0), CALCULO!M29 * -1, 0)</f>
        <v>0</v>
      </c>
      <c r="P32" s="184">
        <f>IF(AND(CALCULO!N29&lt;&gt;"", CALCULO!N29&lt;0), CALCULO!N29 * -1, 0)</f>
        <v>0</v>
      </c>
      <c r="Q32" s="184">
        <f>IF(AND(CALCULO!O29&lt;&gt;"", CALCULO!O29&lt;0), CALCULO!O29 * -1, 0)</f>
        <v>0</v>
      </c>
      <c r="R32" s="299">
        <f>IF(AND(CALCULO!P29&lt;&gt;"", CALCULO!P29&lt;0), CALCULO!P29 * -1, 0)</f>
        <v>0</v>
      </c>
      <c r="S32" s="299">
        <f>IF(AND(CALCULO!Q29&lt;&gt;"", CALCULO!Q29&lt;0), CALCULO!Q29 * -1, 0)</f>
        <v>0</v>
      </c>
      <c r="T32" s="299">
        <f>IF(AND(CALCULO!R29&lt;&gt;"", CALCULO!R29&lt;0), CALCULO!R29 * -1, 0)</f>
        <v>0</v>
      </c>
      <c r="U32" s="299">
        <f>IF(AND(CALCULO!S29&lt;&gt;"", CALCULO!S29&lt;0), CALCULO!S29 * -1, 0)</f>
        <v>0</v>
      </c>
      <c r="V32" s="299">
        <f>IF(AND(CALCULO!T29&lt;&gt;"", CALCULO!T29&lt;0), CALCULO!T29 * -1, 0)</f>
        <v>0</v>
      </c>
      <c r="W32" s="299">
        <f>IF(AND(CALCULO!U29&lt;&gt;"", CALCULO!U29&lt;0), CALCULO!U29 * -1, 0)</f>
        <v>0</v>
      </c>
      <c r="X32" s="299">
        <f>IF(AND(CALCULO!V29&lt;&gt;"", CALCULO!V29&lt;0), CALCULO!V29 * -1, 0)</f>
        <v>0</v>
      </c>
      <c r="Y32" s="299">
        <f>IF(AND(CALCULO!W29&lt;&gt;"", CALCULO!W29&lt;0), CALCULO!W29 * -1, 0)</f>
        <v>0</v>
      </c>
      <c r="Z32" s="299">
        <f>IF(AND(CALCULO!X29&lt;&gt;"", CALCULO!X29&lt;0), CALCULO!X29 * -1, 0)</f>
        <v>0</v>
      </c>
      <c r="AA32" s="299">
        <f>IF(AND(CALCULO!Y29&lt;&gt;"", CALCULO!Y29&lt;0), CALCULO!Y29 * -1, 0)</f>
        <v>0</v>
      </c>
      <c r="AB32" s="299">
        <f>IF(AND(CALCULO!Z29&lt;&gt;"", CALCULO!Z29&lt;0), CALCULO!Z29 * -1, 0)</f>
        <v>0</v>
      </c>
      <c r="AC32" s="299">
        <f>IF(AND(CALCULO!AA29&lt;&gt;"", CALCULO!AA29&lt;0), CALCULO!AA29 * -1, 0)</f>
        <v>0</v>
      </c>
      <c r="AD32" s="299">
        <f>IF(AND(CALCULO!AB29&lt;&gt;"", CALCULO!AB29&lt;0), CALCULO!AB29 * -1, 0)</f>
        <v>0</v>
      </c>
      <c r="AE32" s="299">
        <f>IF(AND(CALCULO!AC29&lt;&gt;"", CALCULO!AC29&lt;0), CALCULO!AC29 * -1, 0)</f>
        <v>0</v>
      </c>
      <c r="AF32" s="299">
        <f>IF(AND(CALCULO!AD29&lt;&gt;"", CALCULO!AD29&lt;0), CALCULO!AD29 * -1, 0)</f>
        <v>0</v>
      </c>
      <c r="AG32" s="299">
        <f>IF(AND(CALCULO!AE29&lt;&gt;"", CALCULO!AE29&lt;0), CALCULO!AE29 * -1, 0)</f>
        <v>0</v>
      </c>
      <c r="AH32" s="299">
        <f>IF(AND(CALCULO!AF29&lt;&gt;"", CALCULO!AF29&lt;0), CALCULO!AF29 * -1, 0)</f>
        <v>0</v>
      </c>
      <c r="AI32" s="299">
        <f>IF(AND(CALCULO!AG29&lt;&gt;"", CALCULO!AG29&lt;0), CALCULO!AG29 * -1, 0)</f>
        <v>0</v>
      </c>
      <c r="AJ32" s="299">
        <f>IF(AND(CALCULO!AH29&lt;&gt;"", CALCULO!AH29&lt;0), CALCULO!AH29 * -1, 0)</f>
        <v>0</v>
      </c>
      <c r="AK32" s="299">
        <f>IF(AND(CALCULO!AI29&lt;&gt;"", CALCULO!AI29&lt;0), CALCULO!AI29 * -1, 0)</f>
        <v>0</v>
      </c>
      <c r="AL32" s="299">
        <f>IF(AND(CALCULO!AJ29&lt;&gt;"", CALCULO!AJ29&lt;0), CALCULO!AJ29 * -1, 0)</f>
        <v>0</v>
      </c>
      <c r="AM32" s="299">
        <f>IF(AND(CALCULO!AK29&lt;&gt;"", CALCULO!AK29&lt;0), CALCULO!AK29 * -1, 0)</f>
        <v>0</v>
      </c>
      <c r="AN32" s="299">
        <f>IF(AND(CALCULO!AL29&lt;&gt;"", CALCULO!AL29&lt;0), CALCULO!AL29 * -1, 0)</f>
        <v>0</v>
      </c>
      <c r="AO32" s="300">
        <f>IF(AND(CALCULO!AM29&lt;&gt;"", CALCULO!AM29&lt;0), CALCULO!AM29 * -1, 0)</f>
        <v>0</v>
      </c>
      <c r="AP32" s="321">
        <f>IF(E32-(ALTAS!C32+AQ32+AR32)&gt;=0,+E32-(ALTAS!C32+AQ32+AR32),"NEGATIVO")</f>
        <v>1</v>
      </c>
      <c r="AQ32" s="321">
        <f>+ALTAS!D32</f>
        <v>0</v>
      </c>
      <c r="AR32" s="321">
        <f>+ALTAS!E32</f>
        <v>0</v>
      </c>
      <c r="AS32" s="291">
        <f>IF(AND(CALCULO!AN29&lt;&gt;"", CALCULO!AN29&lt;0), CALCULO!AN29 * -1, 0)</f>
        <v>0</v>
      </c>
      <c r="AT32" s="296">
        <f>IF(AND(CALCULO!AO29&lt;&gt;"", CALCULO!AO29&lt;0), CALCULO!AO29 * -1, 0)</f>
        <v>0</v>
      </c>
      <c r="AU32" s="213">
        <f>IF(AND(CALCULO!AP29&lt;&gt;"", CALCULO!AP29&lt;0), CALCULO!AP29 * -1, 0)</f>
        <v>0</v>
      </c>
      <c r="AV32" s="213">
        <f>IF(AND(CALCULO!AQ29&lt;&gt;"", CALCULO!AQ29&lt;0), CALCULO!AQ29 * -1, 0)</f>
        <v>0</v>
      </c>
      <c r="AW32" s="213">
        <f>IF(AND(CALCULO!AT29&lt;&gt;"", CALCULO!AT29&lt;0), CALCULO!AT29 * -1, 0)</f>
        <v>0</v>
      </c>
      <c r="AX32" s="213">
        <f>IF(AND(CALCULO!AU29&lt;&gt;"", CALCULO!AU29&lt;0), CALCULO!AU29 * -1, 0)</f>
        <v>0</v>
      </c>
      <c r="AY32" s="213">
        <f t="shared" si="2"/>
        <v>0</v>
      </c>
      <c r="AZ32" s="146">
        <f t="shared" si="3"/>
        <v>0</v>
      </c>
      <c r="BB32" s="181">
        <f>IF(AND(CALCULO!AR28&lt;&gt;"", CALCULO!AR28&lt;0), CALCULO!AR28 * -1, 0)</f>
        <v>0</v>
      </c>
      <c r="BC32" s="181">
        <f>IF(AND(CALCULO!AS28&lt;&gt;"", CALCULO!AS28&lt;0), CALCULO!AS28 * -1, 0)</f>
        <v>0</v>
      </c>
      <c r="BG32" s="146">
        <f>IF(AND(CALCULO!AW28&lt;&gt;"", CALCULO!AW28&lt;0), CALCULO!WP28 * -1, 0)</f>
        <v>0</v>
      </c>
      <c r="BH32">
        <f>IF(AND(CALCULO!AX28&lt;&gt;"", CALCULO!AX28&lt;0), CALCULO!AX28 * -1, 0)</f>
        <v>0</v>
      </c>
    </row>
    <row r="33" spans="1:60" ht="42" x14ac:dyDescent="0.25">
      <c r="A33" s="375"/>
      <c r="B33" s="173"/>
      <c r="C33" s="445" t="s">
        <v>61</v>
      </c>
      <c r="D33" s="241" t="s">
        <v>62</v>
      </c>
      <c r="E33" s="204">
        <f t="shared" si="1"/>
        <v>0</v>
      </c>
      <c r="F33" s="189" t="str">
        <f>IF(AND(CALCULO!D30&lt;&gt;"", CALCULO!D30&lt;0), CALCULO!D30 * -1, "")</f>
        <v/>
      </c>
      <c r="G33" s="190" t="str">
        <f>IF(AND(CALCULO!E30&lt;&gt;"", CALCULO!E30&lt;0), CALCULO!E30 * -1, "")</f>
        <v/>
      </c>
      <c r="H33" s="264">
        <f>IF(AND(CALCULO!F30&lt;&gt;"", CALCULO!F30&lt;0), CALCULO!F30 * -1, 0)</f>
        <v>0</v>
      </c>
      <c r="I33" s="189">
        <f>IF(AND(CALCULO!G30&lt;&gt;"", CALCULO!G30&lt;0), CALCULO!G30 * -1, 0)</f>
        <v>0</v>
      </c>
      <c r="J33" s="189">
        <f>IF(AND(CALCULO!H30&lt;&gt;"", CALCULO!H30&lt;0), CALCULO!H30 * -1, 0)</f>
        <v>0</v>
      </c>
      <c r="K33" s="189">
        <f>IF(AND(CALCULO!I30&lt;&gt;"", CALCULO!I30&lt;0), CALCULO!I30 * -1, 0)</f>
        <v>0</v>
      </c>
      <c r="L33" s="189">
        <f>IF(AND(CALCULO!J30&lt;&gt;"", CALCULO!J30&lt;0), CALCULO!J30 * -1, 0)</f>
        <v>0</v>
      </c>
      <c r="M33" s="189">
        <f>IF(AND(CALCULO!K30&lt;&gt;"", CALCULO!K30&lt;0), CALCULO!K30 * -1, 0)</f>
        <v>0</v>
      </c>
      <c r="N33" s="189">
        <f>IF(AND(CALCULO!L30&lt;&gt;"", CALCULO!L30&lt;0), CALCULO!L30 * -1, 0)</f>
        <v>0</v>
      </c>
      <c r="O33" s="189">
        <f>IF(AND(CALCULO!M30&lt;&gt;"", CALCULO!M30&lt;0), CALCULO!M30 * -1, 0)</f>
        <v>0</v>
      </c>
      <c r="P33" s="189">
        <f>IF(AND(CALCULO!N30&lt;&gt;"", CALCULO!N30&lt;0), CALCULO!N30 * -1, 0)</f>
        <v>0</v>
      </c>
      <c r="Q33" s="189">
        <f>IF(AND(CALCULO!O30&lt;&gt;"", CALCULO!O30&lt;0), CALCULO!O30 * -1, 0)</f>
        <v>0</v>
      </c>
      <c r="R33" s="189">
        <f>IF(AND(CALCULO!P30&lt;&gt;"", CALCULO!P30&lt;0), CALCULO!P30 * -1, 0)</f>
        <v>0</v>
      </c>
      <c r="S33" s="189">
        <f>IF(AND(CALCULO!Q30&lt;&gt;"", CALCULO!Q30&lt;0), CALCULO!Q30 * -1, 0)</f>
        <v>0</v>
      </c>
      <c r="T33" s="189">
        <f>IF(AND(CALCULO!R30&lt;&gt;"", CALCULO!R30&lt;0), CALCULO!R30 * -1, 0)</f>
        <v>0</v>
      </c>
      <c r="U33" s="189">
        <f>IF(AND(CALCULO!S30&lt;&gt;"", CALCULO!S30&lt;0), CALCULO!S30 * -1, 0)</f>
        <v>0</v>
      </c>
      <c r="V33" s="189">
        <f>IF(AND(CALCULO!T30&lt;&gt;"", CALCULO!T30&lt;0), CALCULO!T30 * -1, 0)</f>
        <v>0</v>
      </c>
      <c r="W33" s="189">
        <f>IF(AND(CALCULO!U30&lt;&gt;"", CALCULO!U30&lt;0), CALCULO!U30 * -1, 0)</f>
        <v>0</v>
      </c>
      <c r="X33" s="189">
        <f>IF(AND(CALCULO!V30&lt;&gt;"", CALCULO!V30&lt;0), CALCULO!V30 * -1, 0)</f>
        <v>0</v>
      </c>
      <c r="Y33" s="189">
        <f>IF(AND(CALCULO!W30&lt;&gt;"", CALCULO!W30&lt;0), CALCULO!W30 * -1, 0)</f>
        <v>0</v>
      </c>
      <c r="Z33" s="189">
        <f>IF(AND(CALCULO!X30&lt;&gt;"", CALCULO!X30&lt;0), CALCULO!X30 * -1, 0)</f>
        <v>0</v>
      </c>
      <c r="AA33" s="189">
        <f>IF(AND(CALCULO!Y30&lt;&gt;"", CALCULO!Y30&lt;0), CALCULO!Y30 * -1, 0)</f>
        <v>0</v>
      </c>
      <c r="AB33" s="189">
        <f>IF(AND(CALCULO!Z30&lt;&gt;"", CALCULO!Z30&lt;0), CALCULO!Z30 * -1, 0)</f>
        <v>0</v>
      </c>
      <c r="AC33" s="189">
        <f>IF(AND(CALCULO!AA30&lt;&gt;"", CALCULO!AA30&lt;0), CALCULO!AA30 * -1, 0)</f>
        <v>0</v>
      </c>
      <c r="AD33" s="189">
        <f>IF(AND(CALCULO!AB30&lt;&gt;"", CALCULO!AB30&lt;0), CALCULO!AB30 * -1, 0)</f>
        <v>0</v>
      </c>
      <c r="AE33" s="189">
        <f>IF(AND(CALCULO!AC30&lt;&gt;"", CALCULO!AC30&lt;0), CALCULO!AC30 * -1, 0)</f>
        <v>0</v>
      </c>
      <c r="AF33" s="189">
        <f>IF(AND(CALCULO!AD30&lt;&gt;"", CALCULO!AD30&lt;0), CALCULO!AD30 * -1, 0)</f>
        <v>0</v>
      </c>
      <c r="AG33" s="189">
        <f>IF(AND(CALCULO!AE30&lt;&gt;"", CALCULO!AE30&lt;0), CALCULO!AE30 * -1, 0)</f>
        <v>0</v>
      </c>
      <c r="AH33" s="189">
        <f>IF(AND(CALCULO!AF30&lt;&gt;"", CALCULO!AF30&lt;0), CALCULO!AF30 * -1, 0)</f>
        <v>0</v>
      </c>
      <c r="AI33" s="189">
        <f>IF(AND(CALCULO!AG30&lt;&gt;"", CALCULO!AG30&lt;0), CALCULO!AG30 * -1, 0)</f>
        <v>0</v>
      </c>
      <c r="AJ33" s="189">
        <f>IF(AND(CALCULO!AH30&lt;&gt;"", CALCULO!AH30&lt;0), CALCULO!AH30 * -1, 0)</f>
        <v>0</v>
      </c>
      <c r="AK33" s="189">
        <f>IF(AND(CALCULO!AI30&lt;&gt;"", CALCULO!AI30&lt;0), CALCULO!AI30 * -1, 0)</f>
        <v>0</v>
      </c>
      <c r="AL33" s="189">
        <f>IF(AND(CALCULO!AJ30&lt;&gt;"", CALCULO!AJ30&lt;0), CALCULO!AJ30 * -1, 0)</f>
        <v>0</v>
      </c>
      <c r="AM33" s="189">
        <f>IF(AND(CALCULO!AK30&lt;&gt;"", CALCULO!AK30&lt;0), CALCULO!AK30 * -1, 0)</f>
        <v>0</v>
      </c>
      <c r="AN33" s="189">
        <f>IF(AND(CALCULO!AL30&lt;&gt;"", CALCULO!AL30&lt;0), CALCULO!AL30 * -1, 0)</f>
        <v>0</v>
      </c>
      <c r="AO33" s="202">
        <f>IF(AND(CALCULO!AM30&lt;&gt;"", CALCULO!AM30&lt;0), CALCULO!AM30 * -1, 0)</f>
        <v>0</v>
      </c>
      <c r="AP33" s="321">
        <f>IF(E33-(ALTAS!C33+AQ33+AR33)&gt;=0,+E33-(ALTAS!C33+AQ33+AR33),"NEGATIVO")</f>
        <v>0</v>
      </c>
      <c r="AQ33" s="321">
        <f>+ALTAS!D33</f>
        <v>0</v>
      </c>
      <c r="AR33" s="321">
        <f>+ALTAS!E33</f>
        <v>0</v>
      </c>
      <c r="AS33" s="209">
        <f>IF(AND(CALCULO!AN30&lt;&gt;"", CALCULO!AN30&lt;0), CALCULO!AN30 * -1, 0)</f>
        <v>0</v>
      </c>
      <c r="AT33" s="247">
        <f>IF(AND(CALCULO!AO30&lt;&gt;"", CALCULO!AO30&lt;0), CALCULO!AO30 * -1, 0)</f>
        <v>0</v>
      </c>
      <c r="AU33" s="209">
        <f>IF(AND(CALCULO!AP30&lt;&gt;"", CALCULO!AP30&lt;0), CALCULO!AP30 * -1, 0)</f>
        <v>0</v>
      </c>
      <c r="AV33" s="209">
        <f>IF(AND(CALCULO!AQ30&lt;&gt;"", CALCULO!AQ30&lt;0), CALCULO!AQ30 * -1, 0)</f>
        <v>0</v>
      </c>
      <c r="AW33" s="209">
        <f>IF(AND(CALCULO!AT30&lt;&gt;"", CALCULO!AT30&lt;0), CALCULO!AT30 * -1, 0)</f>
        <v>0</v>
      </c>
      <c r="AX33" s="209">
        <f>IF(AND(CALCULO!AU30&lt;&gt;"", CALCULO!AU30&lt;0), CALCULO!AU30 * -1, 0)</f>
        <v>0</v>
      </c>
      <c r="AY33" s="209">
        <f t="shared" si="2"/>
        <v>0</v>
      </c>
      <c r="AZ33" s="146">
        <f t="shared" si="3"/>
        <v>0</v>
      </c>
      <c r="BB33" s="181">
        <f>IF(AND(CALCULO!AR29&lt;&gt;"", CALCULO!AR29&lt;0), CALCULO!AR29 * -1, 0)</f>
        <v>0</v>
      </c>
      <c r="BC33" s="181">
        <f>IF(AND(CALCULO!AS29&lt;&gt;"", CALCULO!AS29&lt;0), CALCULO!AS29 * -1, 0)</f>
        <v>0</v>
      </c>
      <c r="BG33" s="146">
        <f>IF(AND(CALCULO!AW29&lt;&gt;"", CALCULO!AW29&lt;0), CALCULO!WP29 * -1, 0)</f>
        <v>0</v>
      </c>
      <c r="BH33">
        <f>IF(AND(CALCULO!AX29&lt;&gt;"", CALCULO!AX29&lt;0), CALCULO!AX29 * -1, 0)</f>
        <v>0</v>
      </c>
    </row>
    <row r="34" spans="1:60" ht="22.5" x14ac:dyDescent="0.25">
      <c r="A34" s="375"/>
      <c r="B34" s="173"/>
      <c r="C34" s="446"/>
      <c r="D34" s="236" t="s">
        <v>63</v>
      </c>
      <c r="E34" s="205">
        <f t="shared" si="1"/>
        <v>0</v>
      </c>
      <c r="F34" s="155" t="str">
        <f>IF(AND(CALCULO!D31&lt;&gt;"", CALCULO!D31&lt;0), CALCULO!D31 * -1, "")</f>
        <v/>
      </c>
      <c r="G34" s="191" t="str">
        <f>IF(AND(CALCULO!E31&lt;&gt;"", CALCULO!E31&lt;0), CALCULO!E31 * -1, "")</f>
        <v/>
      </c>
      <c r="H34" s="265">
        <f>IF(AND(CALCULO!F31&lt;&gt;"", CALCULO!F31&lt;0), CALCULO!F31 * -1, 0)</f>
        <v>0</v>
      </c>
      <c r="I34" s="155">
        <f>IF(AND(CALCULO!G31&lt;&gt;"", CALCULO!G31&lt;0), CALCULO!G31 * -1, 0)</f>
        <v>0</v>
      </c>
      <c r="J34" s="155">
        <f>IF(AND(CALCULO!H31&lt;&gt;"", CALCULO!H31&lt;0), CALCULO!H31 * -1, 0)</f>
        <v>0</v>
      </c>
      <c r="K34" s="155">
        <f>IF(AND(CALCULO!I31&lt;&gt;"", CALCULO!I31&lt;0), CALCULO!I31 * -1, 0)</f>
        <v>0</v>
      </c>
      <c r="L34" s="155">
        <f>IF(AND(CALCULO!J31&lt;&gt;"", CALCULO!J31&lt;0), CALCULO!J31 * -1, 0)</f>
        <v>0</v>
      </c>
      <c r="M34" s="155">
        <f>IF(AND(CALCULO!K31&lt;&gt;"", CALCULO!K31&lt;0), CALCULO!K31 * -1, 0)</f>
        <v>0</v>
      </c>
      <c r="N34" s="155">
        <f>IF(AND(CALCULO!L31&lt;&gt;"", CALCULO!L31&lt;0), CALCULO!L31 * -1, 0)</f>
        <v>0</v>
      </c>
      <c r="O34" s="155">
        <f>IF(AND(CALCULO!M31&lt;&gt;"", CALCULO!M31&lt;0), CALCULO!M31 * -1, 0)</f>
        <v>0</v>
      </c>
      <c r="P34" s="155">
        <f>IF(AND(CALCULO!N31&lt;&gt;"", CALCULO!N31&lt;0), CALCULO!N31 * -1, 0)</f>
        <v>0</v>
      </c>
      <c r="Q34" s="155">
        <f>IF(AND(CALCULO!O31&lt;&gt;"", CALCULO!O31&lt;0), CALCULO!O31 * -1, 0)</f>
        <v>0</v>
      </c>
      <c r="R34" s="155">
        <f>IF(AND(CALCULO!P31&lt;&gt;"", CALCULO!P31&lt;0), CALCULO!P31 * -1, 0)</f>
        <v>0</v>
      </c>
      <c r="S34" s="155">
        <f>IF(AND(CALCULO!Q31&lt;&gt;"", CALCULO!Q31&lt;0), CALCULO!Q31 * -1, 0)</f>
        <v>0</v>
      </c>
      <c r="T34" s="155">
        <f>IF(AND(CALCULO!R31&lt;&gt;"", CALCULO!R31&lt;0), CALCULO!R31 * -1, 0)</f>
        <v>0</v>
      </c>
      <c r="U34" s="155">
        <f>IF(AND(CALCULO!S31&lt;&gt;"", CALCULO!S31&lt;0), CALCULO!S31 * -1, 0)</f>
        <v>0</v>
      </c>
      <c r="V34" s="155">
        <f>IF(AND(CALCULO!T31&lt;&gt;"", CALCULO!T31&lt;0), CALCULO!T31 * -1, 0)</f>
        <v>0</v>
      </c>
      <c r="W34" s="155">
        <f>IF(AND(CALCULO!U31&lt;&gt;"", CALCULO!U31&lt;0), CALCULO!U31 * -1, 0)</f>
        <v>0</v>
      </c>
      <c r="X34" s="155">
        <f>IF(AND(CALCULO!V31&lt;&gt;"", CALCULO!V31&lt;0), CALCULO!V31 * -1, 0)</f>
        <v>0</v>
      </c>
      <c r="Y34" s="155">
        <f>IF(AND(CALCULO!W31&lt;&gt;"", CALCULO!W31&lt;0), CALCULO!W31 * -1, 0)</f>
        <v>0</v>
      </c>
      <c r="Z34" s="155">
        <f>IF(AND(CALCULO!X31&lt;&gt;"", CALCULO!X31&lt;0), CALCULO!X31 * -1, 0)</f>
        <v>0</v>
      </c>
      <c r="AA34" s="155">
        <f>IF(AND(CALCULO!Y31&lt;&gt;"", CALCULO!Y31&lt;0), CALCULO!Y31 * -1, 0)</f>
        <v>0</v>
      </c>
      <c r="AB34" s="155">
        <f>IF(AND(CALCULO!Z31&lt;&gt;"", CALCULO!Z31&lt;0), CALCULO!Z31 * -1, 0)</f>
        <v>0</v>
      </c>
      <c r="AC34" s="155">
        <f>IF(AND(CALCULO!AA31&lt;&gt;"", CALCULO!AA31&lt;0), CALCULO!AA31 * -1, 0)</f>
        <v>0</v>
      </c>
      <c r="AD34" s="155">
        <f>IF(AND(CALCULO!AB31&lt;&gt;"", CALCULO!AB31&lt;0), CALCULO!AB31 * -1, 0)</f>
        <v>0</v>
      </c>
      <c r="AE34" s="155">
        <f>IF(AND(CALCULO!AC31&lt;&gt;"", CALCULO!AC31&lt;0), CALCULO!AC31 * -1, 0)</f>
        <v>0</v>
      </c>
      <c r="AF34" s="155">
        <f>IF(AND(CALCULO!AD31&lt;&gt;"", CALCULO!AD31&lt;0), CALCULO!AD31 * -1, 0)</f>
        <v>0</v>
      </c>
      <c r="AG34" s="155">
        <f>IF(AND(CALCULO!AE31&lt;&gt;"", CALCULO!AE31&lt;0), CALCULO!AE31 * -1, 0)</f>
        <v>0</v>
      </c>
      <c r="AH34" s="155">
        <f>IF(AND(CALCULO!AF31&lt;&gt;"", CALCULO!AF31&lt;0), CALCULO!AF31 * -1, 0)</f>
        <v>0</v>
      </c>
      <c r="AI34" s="155">
        <f>IF(AND(CALCULO!AG31&lt;&gt;"", CALCULO!AG31&lt;0), CALCULO!AG31 * -1, 0)</f>
        <v>0</v>
      </c>
      <c r="AJ34" s="155">
        <f>IF(AND(CALCULO!AH31&lt;&gt;"", CALCULO!AH31&lt;0), CALCULO!AH31 * -1, 0)</f>
        <v>0</v>
      </c>
      <c r="AK34" s="155">
        <f>IF(AND(CALCULO!AI31&lt;&gt;"", CALCULO!AI31&lt;0), CALCULO!AI31 * -1, 0)</f>
        <v>0</v>
      </c>
      <c r="AL34" s="155">
        <f>IF(AND(CALCULO!AJ31&lt;&gt;"", CALCULO!AJ31&lt;0), CALCULO!AJ31 * -1, 0)</f>
        <v>0</v>
      </c>
      <c r="AM34" s="155">
        <f>IF(AND(CALCULO!AK31&lt;&gt;"", CALCULO!AK31&lt;0), CALCULO!AK31 * -1, 0)</f>
        <v>0</v>
      </c>
      <c r="AN34" s="155">
        <f>IF(AND(CALCULO!AL31&lt;&gt;"", CALCULO!AL31&lt;0), CALCULO!AL31 * -1, 0)</f>
        <v>0</v>
      </c>
      <c r="AO34" s="164">
        <f>IF(AND(CALCULO!AM31&lt;&gt;"", CALCULO!AM31&lt;0), CALCULO!AM31 * -1, 0)</f>
        <v>0</v>
      </c>
      <c r="AP34" s="321">
        <f>IF(E34-(ALTAS!C34+AQ34+AR34)&gt;=0,+E34-(ALTAS!C34+AQ34+AR34),"NEGATIVO")</f>
        <v>0</v>
      </c>
      <c r="AQ34" s="321">
        <f>+ALTAS!D34</f>
        <v>0</v>
      </c>
      <c r="AR34" s="321">
        <f>+ALTAS!E34</f>
        <v>0</v>
      </c>
      <c r="AS34">
        <f>IF(AND(CALCULO!AN31&lt;&gt;"", CALCULO!AN31&lt;0), CALCULO!AN31 * -1, 0)</f>
        <v>1</v>
      </c>
      <c r="AT34" s="151">
        <f>IF(AND(CALCULO!AO31&lt;&gt;"", CALCULO!AO31&lt;0), CALCULO!AO31 * -1, 0)</f>
        <v>0</v>
      </c>
      <c r="AU34">
        <f>IF(AND(CALCULO!AP31&lt;&gt;"", CALCULO!AP31&lt;0), CALCULO!AP31 * -1, 0)</f>
        <v>0</v>
      </c>
      <c r="AV34">
        <f>IF(AND(CALCULO!AQ31&lt;&gt;"", CALCULO!AQ31&lt;0), CALCULO!AQ31 * -1, 0)</f>
        <v>0</v>
      </c>
      <c r="AW34">
        <f>IF(AND(CALCULO!AT31&lt;&gt;"", CALCULO!AT31&lt;0), CALCULO!AT31 * -1, 0)</f>
        <v>0</v>
      </c>
      <c r="AX34">
        <f>IF(AND(CALCULO!AU31&lt;&gt;"", CALCULO!AU31&lt;0), CALCULO!AU31 * -1, 0)</f>
        <v>0</v>
      </c>
      <c r="AY34">
        <f t="shared" si="2"/>
        <v>0</v>
      </c>
      <c r="AZ34" s="146">
        <f t="shared" si="3"/>
        <v>0</v>
      </c>
      <c r="BB34" s="181">
        <f>IF(AND(CALCULO!AR30&lt;&gt;"", CALCULO!AR30&lt;0), CALCULO!AR30 * -1, 0)</f>
        <v>0</v>
      </c>
      <c r="BC34" s="181">
        <f>IF(AND(CALCULO!AS30&lt;&gt;"", CALCULO!AS30&lt;0), CALCULO!AS30 * -1, 0)</f>
        <v>0</v>
      </c>
      <c r="BG34" s="146">
        <f>IF(AND(CALCULO!AW30&lt;&gt;"", CALCULO!AW30&lt;0), CALCULO!WP30 * -1, 0)</f>
        <v>0</v>
      </c>
      <c r="BH34">
        <f>IF(AND(CALCULO!AX30&lt;&gt;"", CALCULO!AX30&lt;0), CALCULO!AX30 * -1, 0)</f>
        <v>0</v>
      </c>
    </row>
    <row r="35" spans="1:60" ht="21.75" thickBot="1" x14ac:dyDescent="0.3">
      <c r="A35" s="376"/>
      <c r="B35" s="211"/>
      <c r="C35" s="446"/>
      <c r="D35" s="239" t="s">
        <v>64</v>
      </c>
      <c r="E35" s="205">
        <f t="shared" si="1"/>
        <v>0</v>
      </c>
      <c r="F35" s="155" t="str">
        <f>IF(AND(CALCULO!D32&lt;&gt;"", CALCULO!D32&lt;0), CALCULO!D32 * -1, "")</f>
        <v/>
      </c>
      <c r="G35" s="191" t="str">
        <f>IF(AND(CALCULO!E32&lt;&gt;"", CALCULO!E32&lt;0), CALCULO!E32 * -1, "")</f>
        <v/>
      </c>
      <c r="H35" s="265">
        <f>IF(AND(CALCULO!F32&lt;&gt;"", CALCULO!F32&lt;0), CALCULO!F32 * -1, 0)</f>
        <v>0</v>
      </c>
      <c r="I35" s="155">
        <f>IF(AND(CALCULO!G32&lt;&gt;"", CALCULO!G32&lt;0), CALCULO!G32 * -1, 0)</f>
        <v>0</v>
      </c>
      <c r="J35" s="155">
        <f>IF(AND(CALCULO!H32&lt;&gt;"", CALCULO!H32&lt;0), CALCULO!H32 * -1, 0)</f>
        <v>0</v>
      </c>
      <c r="K35" s="155">
        <f>IF(AND(CALCULO!I32&lt;&gt;"", CALCULO!I32&lt;0), CALCULO!I32 * -1, 0)</f>
        <v>0</v>
      </c>
      <c r="L35" s="155">
        <f>IF(AND(CALCULO!J32&lt;&gt;"", CALCULO!J32&lt;0), CALCULO!J32 * -1, 0)</f>
        <v>0</v>
      </c>
      <c r="M35" s="155">
        <f>IF(AND(CALCULO!K32&lt;&gt;"", CALCULO!K32&lt;0), CALCULO!K32 * -1, 0)</f>
        <v>0</v>
      </c>
      <c r="N35" s="155">
        <f>IF(AND(CALCULO!L32&lt;&gt;"", CALCULO!L32&lt;0), CALCULO!L32 * -1, 0)</f>
        <v>0</v>
      </c>
      <c r="O35" s="155">
        <f>IF(AND(CALCULO!M32&lt;&gt;"", CALCULO!M32&lt;0), CALCULO!M32 * -1, 0)</f>
        <v>0</v>
      </c>
      <c r="P35" s="155">
        <f>IF(AND(CALCULO!N32&lt;&gt;"", CALCULO!N32&lt;0), CALCULO!N32 * -1, 0)</f>
        <v>0</v>
      </c>
      <c r="Q35" s="155">
        <f>IF(AND(CALCULO!O32&lt;&gt;"", CALCULO!O32&lt;0), CALCULO!O32 * -1, 0)</f>
        <v>0</v>
      </c>
      <c r="R35" s="155">
        <f>IF(AND(CALCULO!P32&lt;&gt;"", CALCULO!P32&lt;0), CALCULO!P32 * -1, 0)</f>
        <v>0</v>
      </c>
      <c r="S35" s="155">
        <f>IF(AND(CALCULO!Q32&lt;&gt;"", CALCULO!Q32&lt;0), CALCULO!Q32 * -1, 0)</f>
        <v>0</v>
      </c>
      <c r="T35" s="155">
        <f>IF(AND(CALCULO!R32&lt;&gt;"", CALCULO!R32&lt;0), CALCULO!R32 * -1, 0)</f>
        <v>0</v>
      </c>
      <c r="U35" s="155">
        <f>IF(AND(CALCULO!S32&lt;&gt;"", CALCULO!S32&lt;0), CALCULO!S32 * -1, 0)</f>
        <v>0</v>
      </c>
      <c r="V35" s="155">
        <f>IF(AND(CALCULO!T32&lt;&gt;"", CALCULO!T32&lt;0), CALCULO!T32 * -1, 0)</f>
        <v>0</v>
      </c>
      <c r="W35" s="155">
        <f>IF(AND(CALCULO!U32&lt;&gt;"", CALCULO!U32&lt;0), CALCULO!U32 * -1, 0)</f>
        <v>0</v>
      </c>
      <c r="X35" s="155">
        <f>IF(AND(CALCULO!V32&lt;&gt;"", CALCULO!V32&lt;0), CALCULO!V32 * -1, 0)</f>
        <v>0</v>
      </c>
      <c r="Y35" s="155">
        <f>IF(AND(CALCULO!W32&lt;&gt;"", CALCULO!W32&lt;0), CALCULO!W32 * -1, 0)</f>
        <v>0</v>
      </c>
      <c r="Z35" s="155">
        <f>IF(AND(CALCULO!X32&lt;&gt;"", CALCULO!X32&lt;0), CALCULO!X32 * -1, 0)</f>
        <v>0</v>
      </c>
      <c r="AA35" s="155">
        <f>IF(AND(CALCULO!Y32&lt;&gt;"", CALCULO!Y32&lt;0), CALCULO!Y32 * -1, 0)</f>
        <v>0</v>
      </c>
      <c r="AB35" s="155">
        <f>IF(AND(CALCULO!Z32&lt;&gt;"", CALCULO!Z32&lt;0), CALCULO!Z32 * -1, 0)</f>
        <v>0</v>
      </c>
      <c r="AC35" s="155">
        <f>IF(AND(CALCULO!AA32&lt;&gt;"", CALCULO!AA32&lt;0), CALCULO!AA32 * -1, 0)</f>
        <v>0</v>
      </c>
      <c r="AD35" s="155">
        <f>IF(AND(CALCULO!AB32&lt;&gt;"", CALCULO!AB32&lt;0), CALCULO!AB32 * -1, 0)</f>
        <v>0</v>
      </c>
      <c r="AE35" s="155">
        <f>IF(AND(CALCULO!AC32&lt;&gt;"", CALCULO!AC32&lt;0), CALCULO!AC32 * -1, 0)</f>
        <v>0</v>
      </c>
      <c r="AF35" s="155">
        <f>IF(AND(CALCULO!AD32&lt;&gt;"", CALCULO!AD32&lt;0), CALCULO!AD32 * -1, 0)</f>
        <v>0</v>
      </c>
      <c r="AG35" s="155">
        <f>IF(AND(CALCULO!AE32&lt;&gt;"", CALCULO!AE32&lt;0), CALCULO!AE32 * -1, 0)</f>
        <v>0</v>
      </c>
      <c r="AH35" s="155">
        <f>IF(AND(CALCULO!AF32&lt;&gt;"", CALCULO!AF32&lt;0), CALCULO!AF32 * -1, 0)</f>
        <v>0</v>
      </c>
      <c r="AI35" s="155">
        <f>IF(AND(CALCULO!AG32&lt;&gt;"", CALCULO!AG32&lt;0), CALCULO!AG32 * -1, 0)</f>
        <v>0</v>
      </c>
      <c r="AJ35" s="155">
        <f>IF(AND(CALCULO!AH32&lt;&gt;"", CALCULO!AH32&lt;0), CALCULO!AH32 * -1, 0)</f>
        <v>0</v>
      </c>
      <c r="AK35" s="155">
        <f>IF(AND(CALCULO!AI32&lt;&gt;"", CALCULO!AI32&lt;0), CALCULO!AI32 * -1, 0)</f>
        <v>0</v>
      </c>
      <c r="AL35" s="155">
        <f>IF(AND(CALCULO!AJ32&lt;&gt;"", CALCULO!AJ32&lt;0), CALCULO!AJ32 * -1, 0)</f>
        <v>0</v>
      </c>
      <c r="AM35" s="155">
        <f>IF(AND(CALCULO!AK32&lt;&gt;"", CALCULO!AK32&lt;0), CALCULO!AK32 * -1, 0)</f>
        <v>0</v>
      </c>
      <c r="AN35" s="155">
        <f>IF(AND(CALCULO!AL32&lt;&gt;"", CALCULO!AL32&lt;0), CALCULO!AL32 * -1, 0)</f>
        <v>0</v>
      </c>
      <c r="AO35" s="164">
        <f>IF(AND(CALCULO!AM32&lt;&gt;"", CALCULO!AM32&lt;0), CALCULO!AM32 * -1, 0)</f>
        <v>0</v>
      </c>
      <c r="AP35" s="321">
        <f>IF(E35-(ALTAS!C35+AQ35+AR35)&gt;=0,+E35-(ALTAS!C35+AQ35+AR35),"NEGATIVO")</f>
        <v>0</v>
      </c>
      <c r="AQ35" s="321">
        <f>+ALTAS!D35</f>
        <v>0</v>
      </c>
      <c r="AR35" s="321">
        <f>+ALTAS!E35</f>
        <v>0</v>
      </c>
      <c r="AS35">
        <f>IF(AND(CALCULO!AN32&lt;&gt;"", CALCULO!AN32&lt;0), CALCULO!AN32 * -1, 0)</f>
        <v>0</v>
      </c>
      <c r="AT35" s="151">
        <f>IF(AND(CALCULO!AO32&lt;&gt;"", CALCULO!AO32&lt;0), CALCULO!AO32 * -1, 0)</f>
        <v>0</v>
      </c>
      <c r="AU35">
        <f>IF(AND(CALCULO!AP32&lt;&gt;"", CALCULO!AP32&lt;0), CALCULO!AP32 * -1, 0)</f>
        <v>0</v>
      </c>
      <c r="AV35">
        <f>IF(AND(CALCULO!AQ32&lt;&gt;"", CALCULO!AQ32&lt;0), CALCULO!AQ32 * -1, 0)</f>
        <v>0</v>
      </c>
      <c r="AW35">
        <f>IF(AND(CALCULO!AT32&lt;&gt;"", CALCULO!AT32&lt;0), CALCULO!AT32 * -1, 0)</f>
        <v>0</v>
      </c>
      <c r="AX35">
        <f>IF(AND(CALCULO!AU32&lt;&gt;"", CALCULO!AU32&lt;0), CALCULO!AU32 * -1, 0)</f>
        <v>0</v>
      </c>
      <c r="AY35">
        <f t="shared" si="2"/>
        <v>0</v>
      </c>
      <c r="AZ35" s="146">
        <f t="shared" si="3"/>
        <v>0</v>
      </c>
      <c r="BB35" s="181">
        <f>IF(AND(CALCULO!AR31&lt;&gt;"", CALCULO!AR31&lt;0), CALCULO!AR31 * -1, 0)</f>
        <v>0</v>
      </c>
      <c r="BC35" s="181">
        <f>IF(AND(CALCULO!AS31&lt;&gt;"", CALCULO!AS31&lt;0), CALCULO!AS31 * -1, 0)</f>
        <v>0</v>
      </c>
      <c r="BG35" s="146">
        <f>IF(AND(CALCULO!AW31&lt;&gt;"", CALCULO!AW31&lt;0), CALCULO!WP31 * -1, 0)</f>
        <v>0</v>
      </c>
      <c r="BH35">
        <f>IF(AND(CALCULO!AX31&lt;&gt;"", CALCULO!AX31&lt;0), CALCULO!AX31 * -1, 0)</f>
        <v>0</v>
      </c>
    </row>
    <row r="36" spans="1:60" ht="42" x14ac:dyDescent="0.25">
      <c r="A36" s="392"/>
      <c r="B36" s="223"/>
      <c r="C36" s="446"/>
      <c r="D36" s="239" t="s">
        <v>65</v>
      </c>
      <c r="E36" s="205">
        <f t="shared" si="1"/>
        <v>4</v>
      </c>
      <c r="F36" s="155">
        <f>IF(AND(CALCULO!D33&lt;&gt;"", CALCULO!D33&lt;0), CALCULO!D33 * -1, "")</f>
        <v>1</v>
      </c>
      <c r="G36" s="191" t="str">
        <f>IF(AND(CALCULO!E33&lt;&gt;"", CALCULO!E33&lt;0), CALCULO!E33 * -1, "")</f>
        <v/>
      </c>
      <c r="H36" s="265">
        <f>IF(AND(CALCULO!F33&lt;&gt;"", CALCULO!F33&lt;0), CALCULO!F33 * -1, 0)</f>
        <v>0</v>
      </c>
      <c r="I36" s="155">
        <f>IF(AND(CALCULO!G33&lt;&gt;"", CALCULO!G33&lt;0), CALCULO!G33 * -1, 0)</f>
        <v>0</v>
      </c>
      <c r="J36" s="155">
        <f>IF(AND(CALCULO!H33&lt;&gt;"", CALCULO!H33&lt;0), CALCULO!H33 * -1, 0)</f>
        <v>0</v>
      </c>
      <c r="K36" s="155">
        <f>IF(AND(CALCULO!I33&lt;&gt;"", CALCULO!I33&lt;0), CALCULO!I33 * -1, 0)</f>
        <v>0</v>
      </c>
      <c r="L36" s="155">
        <f>IF(AND(CALCULO!J33&lt;&gt;"", CALCULO!J33&lt;0), CALCULO!J33 * -1, 0)</f>
        <v>0</v>
      </c>
      <c r="M36" s="155">
        <f>IF(AND(CALCULO!K33&lt;&gt;"", CALCULO!K33&lt;0), CALCULO!K33 * -1, 0)</f>
        <v>0</v>
      </c>
      <c r="N36" s="155">
        <f>IF(AND(CALCULO!L33&lt;&gt;"", CALCULO!L33&lt;0), CALCULO!L33 * -1, 0)</f>
        <v>0</v>
      </c>
      <c r="O36" s="155">
        <f>IF(AND(CALCULO!M33&lt;&gt;"", CALCULO!M33&lt;0), CALCULO!M33 * -1, 0)</f>
        <v>0</v>
      </c>
      <c r="P36" s="155">
        <f>IF(AND(CALCULO!N33&lt;&gt;"", CALCULO!N33&lt;0), CALCULO!N33 * -1, 0)</f>
        <v>0</v>
      </c>
      <c r="Q36" s="155">
        <f>IF(AND(CALCULO!O33&lt;&gt;"", CALCULO!O33&lt;0), CALCULO!O33 * -1, 0)</f>
        <v>0</v>
      </c>
      <c r="R36" s="155">
        <f>IF(AND(CALCULO!P33&lt;&gt;"", CALCULO!P33&lt;0), CALCULO!P33 * -1, 0)</f>
        <v>0</v>
      </c>
      <c r="S36" s="155">
        <f>IF(AND(CALCULO!Q33&lt;&gt;"", CALCULO!Q33&lt;0), CALCULO!Q33 * -1, 0)</f>
        <v>0</v>
      </c>
      <c r="T36" s="155">
        <f>IF(AND(CALCULO!R33&lt;&gt;"", CALCULO!R33&lt;0), CALCULO!R33 * -1, 0)</f>
        <v>0</v>
      </c>
      <c r="U36" s="155">
        <f>IF(AND(CALCULO!S33&lt;&gt;"", CALCULO!S33&lt;0), CALCULO!S33 * -1, 0)</f>
        <v>1</v>
      </c>
      <c r="V36" s="155">
        <f>IF(AND(CALCULO!T33&lt;&gt;"", CALCULO!T33&lt;0), CALCULO!T33 * -1, 0)</f>
        <v>0</v>
      </c>
      <c r="W36" s="155">
        <f>IF(AND(CALCULO!U33&lt;&gt;"", CALCULO!U33&lt;0), CALCULO!U33 * -1, 0)</f>
        <v>0</v>
      </c>
      <c r="X36" s="155">
        <f>IF(AND(CALCULO!V33&lt;&gt;"", CALCULO!V33&lt;0), CALCULO!V33 * -1, 0)</f>
        <v>1</v>
      </c>
      <c r="Y36" s="155">
        <f>IF(AND(CALCULO!W33&lt;&gt;"", CALCULO!W33&lt;0), CALCULO!W33 * -1, 0)</f>
        <v>0</v>
      </c>
      <c r="Z36" s="155">
        <f>IF(AND(CALCULO!X33&lt;&gt;"", CALCULO!X33&lt;0), CALCULO!X33 * -1, 0)</f>
        <v>0</v>
      </c>
      <c r="AA36" s="155">
        <f>IF(AND(CALCULO!Y33&lt;&gt;"", CALCULO!Y33&lt;0), CALCULO!Y33 * -1, 0)</f>
        <v>0</v>
      </c>
      <c r="AB36" s="155">
        <f>IF(AND(CALCULO!Z33&lt;&gt;"", CALCULO!Z33&lt;0), CALCULO!Z33 * -1, 0)</f>
        <v>0</v>
      </c>
      <c r="AC36" s="155">
        <f>IF(AND(CALCULO!AA33&lt;&gt;"", CALCULO!AA33&lt;0), CALCULO!AA33 * -1, 0)</f>
        <v>1</v>
      </c>
      <c r="AD36" s="155">
        <f>IF(AND(CALCULO!AB33&lt;&gt;"", CALCULO!AB33&lt;0), CALCULO!AB33 * -1, 0)</f>
        <v>0</v>
      </c>
      <c r="AE36" s="155">
        <f>IF(AND(CALCULO!AC33&lt;&gt;"", CALCULO!AC33&lt;0), CALCULO!AC33 * -1, 0)</f>
        <v>1</v>
      </c>
      <c r="AF36" s="155">
        <f>IF(AND(CALCULO!AD33&lt;&gt;"", CALCULO!AD33&lt;0), CALCULO!AD33 * -1, 0)</f>
        <v>0</v>
      </c>
      <c r="AG36" s="155">
        <f>IF(AND(CALCULO!AE33&lt;&gt;"", CALCULO!AE33&lt;0), CALCULO!AE33 * -1, 0)</f>
        <v>0</v>
      </c>
      <c r="AH36" s="155">
        <f>IF(AND(CALCULO!AF33&lt;&gt;"", CALCULO!AF33&lt;0), CALCULO!AF33 * -1, 0)</f>
        <v>0</v>
      </c>
      <c r="AI36" s="155">
        <f>IF(AND(CALCULO!AG33&lt;&gt;"", CALCULO!AG33&lt;0), CALCULO!AG33 * -1, 0)</f>
        <v>0</v>
      </c>
      <c r="AJ36" s="155">
        <f>IF(AND(CALCULO!AH33&lt;&gt;"", CALCULO!AH33&lt;0), CALCULO!AH33 * -1, 0)</f>
        <v>0</v>
      </c>
      <c r="AK36" s="155">
        <f>IF(AND(CALCULO!AI33&lt;&gt;"", CALCULO!AI33&lt;0), CALCULO!AI33 * -1, 0)</f>
        <v>0</v>
      </c>
      <c r="AL36" s="155">
        <f>IF(AND(CALCULO!AJ33&lt;&gt;"", CALCULO!AJ33&lt;0), CALCULO!AJ33 * -1, 0)</f>
        <v>0</v>
      </c>
      <c r="AM36" s="155">
        <f>IF(AND(CALCULO!AK33&lt;&gt;"", CALCULO!AK33&lt;0), CALCULO!AK33 * -1, 0)</f>
        <v>0</v>
      </c>
      <c r="AN36" s="155">
        <f>IF(AND(CALCULO!AL33&lt;&gt;"", CALCULO!AL33&lt;0), CALCULO!AL33 * -1, 0)</f>
        <v>0</v>
      </c>
      <c r="AO36" s="164">
        <f>IF(AND(CALCULO!AM33&lt;&gt;"", CALCULO!AM33&lt;0), CALCULO!AM33 * -1, 0)</f>
        <v>0</v>
      </c>
      <c r="AP36" s="321">
        <f>IF(E36-(ALTAS!C36+AQ36+AR36)&gt;=0,+E36-(ALTAS!C36+AQ36+AR36),"NEGATIVO")</f>
        <v>3</v>
      </c>
      <c r="AQ36" s="321">
        <f>+ALTAS!D36</f>
        <v>0</v>
      </c>
      <c r="AR36" s="321">
        <f>+ALTAS!E36</f>
        <v>0</v>
      </c>
      <c r="AS36">
        <f>IF(AND(CALCULO!AN33&lt;&gt;"", CALCULO!AN33&lt;0), CALCULO!AN33 * -1, 0)</f>
        <v>0</v>
      </c>
      <c r="AT36">
        <f>IF(AND(CALCULO!AO33&lt;&gt;"", CALCULO!AO33&lt;0), CALCULO!AO33 * -1, 0)</f>
        <v>0</v>
      </c>
      <c r="AU36">
        <f>IF(AND(CALCULO!AP33&lt;&gt;"", CALCULO!AP33&lt;0), CALCULO!AP33 * -1, 0)</f>
        <v>0</v>
      </c>
      <c r="AV36">
        <f>IF(AND(CALCULO!AQ33&lt;&gt;"", CALCULO!AQ33&lt;0), CALCULO!AQ33 * -1, 0)</f>
        <v>0</v>
      </c>
      <c r="AW36">
        <f>IF(AND(CALCULO!AT33&lt;&gt;"", CALCULO!AT33&lt;0), CALCULO!AT33 * -1, 0)</f>
        <v>0</v>
      </c>
      <c r="AX36">
        <f>IF(AND(CALCULO!AU33&lt;&gt;"", CALCULO!AU33&lt;0), CALCULO!AU33 * -1, 0)</f>
        <v>0</v>
      </c>
      <c r="AY36">
        <f t="shared" si="2"/>
        <v>0</v>
      </c>
      <c r="AZ36" s="146">
        <f t="shared" si="3"/>
        <v>0</v>
      </c>
      <c r="BB36" s="181">
        <f>IF(AND(CALCULO!AR32&lt;&gt;"", CALCULO!AR32&lt;0), CALCULO!AR32 * -1, 0)</f>
        <v>0</v>
      </c>
      <c r="BC36" s="181">
        <f>IF(AND(CALCULO!AS32&lt;&gt;"", CALCULO!AS32&lt;0), CALCULO!AS32 * -1, 0)</f>
        <v>0</v>
      </c>
      <c r="BG36" s="146">
        <f>IF(AND(CALCULO!AW32&lt;&gt;"", CALCULO!AW32&lt;0), CALCULO!WP32 * -1, 0)</f>
        <v>0</v>
      </c>
      <c r="BH36">
        <f>IF(AND(CALCULO!AX32&lt;&gt;"", CALCULO!AX32&lt;0), CALCULO!AX32 * -1, 0)</f>
        <v>0</v>
      </c>
    </row>
    <row r="37" spans="1:60" ht="32.25" thickBot="1" x14ac:dyDescent="0.3">
      <c r="A37" s="393"/>
      <c r="B37" s="178"/>
      <c r="C37" s="446"/>
      <c r="D37" s="242" t="s">
        <v>66</v>
      </c>
      <c r="E37" s="251">
        <f t="shared" si="1"/>
        <v>0</v>
      </c>
      <c r="F37" s="184" t="str">
        <f>IF(AND(CALCULO!D34&lt;&gt;"", CALCULO!D34&lt;0), CALCULO!D34 * -1, "")</f>
        <v/>
      </c>
      <c r="G37" s="252" t="str">
        <f>IF(AND(CALCULO!E34&lt;&gt;"", CALCULO!E34&lt;0), CALCULO!E34 * -1, "")</f>
        <v/>
      </c>
      <c r="H37" s="266">
        <f>IF(AND(CALCULO!F34&lt;&gt;"", CALCULO!F34&lt;0), CALCULO!F34 * -1, 0)</f>
        <v>0</v>
      </c>
      <c r="I37" s="184">
        <f>IF(AND(CALCULO!G34&lt;&gt;"", CALCULO!G34&lt;0), CALCULO!G34 * -1, 0)</f>
        <v>0</v>
      </c>
      <c r="J37" s="184">
        <f>IF(AND(CALCULO!H34&lt;&gt;"", CALCULO!H34&lt;0), CALCULO!H34 * -1, 0)</f>
        <v>0</v>
      </c>
      <c r="K37" s="184">
        <f>IF(AND(CALCULO!I34&lt;&gt;"", CALCULO!I34&lt;0), CALCULO!I34 * -1, 0)</f>
        <v>0</v>
      </c>
      <c r="L37" s="184">
        <f>IF(AND(CALCULO!J34&lt;&gt;"", CALCULO!J34&lt;0), CALCULO!J34 * -1, 0)</f>
        <v>0</v>
      </c>
      <c r="M37" s="184">
        <f>IF(AND(CALCULO!K34&lt;&gt;"", CALCULO!K34&lt;0), CALCULO!K34 * -1, 0)</f>
        <v>0</v>
      </c>
      <c r="N37" s="184">
        <f>IF(AND(CALCULO!L34&lt;&gt;"", CALCULO!L34&lt;0), CALCULO!L34 * -1, 0)</f>
        <v>0</v>
      </c>
      <c r="O37" s="184">
        <f>IF(AND(CALCULO!M34&lt;&gt;"", CALCULO!M34&lt;0), CALCULO!M34 * -1, 0)</f>
        <v>0</v>
      </c>
      <c r="P37" s="184">
        <f>IF(AND(CALCULO!N34&lt;&gt;"", CALCULO!N34&lt;0), CALCULO!N34 * -1, 0)</f>
        <v>0</v>
      </c>
      <c r="Q37" s="184">
        <f>IF(AND(CALCULO!O34&lt;&gt;"", CALCULO!O34&lt;0), CALCULO!O34 * -1, 0)</f>
        <v>0</v>
      </c>
      <c r="R37" s="184">
        <f>IF(AND(CALCULO!P34&lt;&gt;"", CALCULO!P34&lt;0), CALCULO!P34 * -1, 0)</f>
        <v>0</v>
      </c>
      <c r="S37" s="184">
        <f>IF(AND(CALCULO!Q34&lt;&gt;"", CALCULO!Q34&lt;0), CALCULO!Q34 * -1, 0)</f>
        <v>0</v>
      </c>
      <c r="T37" s="184">
        <f>IF(AND(CALCULO!R34&lt;&gt;"", CALCULO!R34&lt;0), CALCULO!R34 * -1, 0)</f>
        <v>0</v>
      </c>
      <c r="U37" s="184">
        <f>IF(AND(CALCULO!S34&lt;&gt;"", CALCULO!S34&lt;0), CALCULO!S34 * -1, 0)</f>
        <v>0</v>
      </c>
      <c r="V37" s="184">
        <f>IF(AND(CALCULO!T34&lt;&gt;"", CALCULO!T34&lt;0), CALCULO!T34 * -1, 0)</f>
        <v>0</v>
      </c>
      <c r="W37" s="184">
        <f>IF(AND(CALCULO!U34&lt;&gt;"", CALCULO!U34&lt;0), CALCULO!U34 * -1, 0)</f>
        <v>0</v>
      </c>
      <c r="X37" s="184">
        <f>IF(AND(CALCULO!V34&lt;&gt;"", CALCULO!V34&lt;0), CALCULO!V34 * -1, 0)</f>
        <v>0</v>
      </c>
      <c r="Y37" s="184">
        <f>IF(AND(CALCULO!W34&lt;&gt;"", CALCULO!W34&lt;0), CALCULO!W34 * -1, 0)</f>
        <v>0</v>
      </c>
      <c r="Z37" s="184">
        <f>IF(AND(CALCULO!X34&lt;&gt;"", CALCULO!X34&lt;0), CALCULO!X34 * -1, 0)</f>
        <v>0</v>
      </c>
      <c r="AA37" s="184">
        <f>IF(AND(CALCULO!Y34&lt;&gt;"", CALCULO!Y34&lt;0), CALCULO!Y34 * -1, 0)</f>
        <v>0</v>
      </c>
      <c r="AB37" s="184">
        <f>IF(AND(CALCULO!Z34&lt;&gt;"", CALCULO!Z34&lt;0), CALCULO!Z34 * -1, 0)</f>
        <v>0</v>
      </c>
      <c r="AC37" s="184">
        <f>IF(AND(CALCULO!AA34&lt;&gt;"", CALCULO!AA34&lt;0), CALCULO!AA34 * -1, 0)</f>
        <v>0</v>
      </c>
      <c r="AD37" s="184">
        <f>IF(AND(CALCULO!AB34&lt;&gt;"", CALCULO!AB34&lt;0), CALCULO!AB34 * -1, 0)</f>
        <v>0</v>
      </c>
      <c r="AE37" s="184">
        <f>IF(AND(CALCULO!AC34&lt;&gt;"", CALCULO!AC34&lt;0), CALCULO!AC34 * -1, 0)</f>
        <v>0</v>
      </c>
      <c r="AF37" s="184">
        <f>IF(AND(CALCULO!AD34&lt;&gt;"", CALCULO!AD34&lt;0), CALCULO!AD34 * -1, 0)</f>
        <v>0</v>
      </c>
      <c r="AG37" s="184">
        <f>IF(AND(CALCULO!AE34&lt;&gt;"", CALCULO!AE34&lt;0), CALCULO!AE34 * -1, 0)</f>
        <v>0</v>
      </c>
      <c r="AH37" s="184">
        <f>IF(AND(CALCULO!AF34&lt;&gt;"", CALCULO!AF34&lt;0), CALCULO!AF34 * -1, 0)</f>
        <v>0</v>
      </c>
      <c r="AI37" s="184">
        <f>IF(AND(CALCULO!AG34&lt;&gt;"", CALCULO!AG34&lt;0), CALCULO!AG34 * -1, 0)</f>
        <v>0</v>
      </c>
      <c r="AJ37" s="184">
        <f>IF(AND(CALCULO!AH34&lt;&gt;"", CALCULO!AH34&lt;0), CALCULO!AH34 * -1, 0)</f>
        <v>0</v>
      </c>
      <c r="AK37" s="184">
        <f>IF(AND(CALCULO!AI34&lt;&gt;"", CALCULO!AI34&lt;0), CALCULO!AI34 * -1, 0)</f>
        <v>0</v>
      </c>
      <c r="AL37" s="184">
        <f>IF(AND(CALCULO!AJ34&lt;&gt;"", CALCULO!AJ34&lt;0), CALCULO!AJ34 * -1, 0)</f>
        <v>0</v>
      </c>
      <c r="AM37" s="184">
        <f>IF(AND(CALCULO!AK34&lt;&gt;"", CALCULO!AK34&lt;0), CALCULO!AK34 * -1, 0)</f>
        <v>0</v>
      </c>
      <c r="AN37" s="184">
        <f>IF(AND(CALCULO!AL34&lt;&gt;"", CALCULO!AL34&lt;0), CALCULO!AL34 * -1, 0)</f>
        <v>0</v>
      </c>
      <c r="AO37" s="290">
        <f>IF(AND(CALCULO!AM34&lt;&gt;"", CALCULO!AM34&lt;0), CALCULO!AM34 * -1, 0)</f>
        <v>0</v>
      </c>
      <c r="AP37" s="321">
        <v>0</v>
      </c>
      <c r="AQ37" s="321">
        <f>+ALTAS!D37</f>
        <v>0</v>
      </c>
      <c r="AR37" s="321">
        <f>+ALTAS!E37</f>
        <v>0</v>
      </c>
      <c r="AS37" s="212">
        <f>IF(AND(CALCULO!AN34&lt;&gt;"", CALCULO!AN34&lt;0), CALCULO!AN34 * -1, 0)</f>
        <v>0</v>
      </c>
      <c r="AT37" s="212">
        <f>IF(AND(CALCULO!AO34&lt;&gt;"", CALCULO!AO34&lt;0), CALCULO!AO34 * -1, 0)</f>
        <v>0</v>
      </c>
      <c r="AU37" s="212">
        <f>IF(AND(CALCULO!AP34&lt;&gt;"", CALCULO!AP34&lt;0), CALCULO!AP34 * -1, 0)</f>
        <v>0</v>
      </c>
      <c r="AV37" s="212">
        <f>IF(AND(CALCULO!AQ34&lt;&gt;"", CALCULO!AQ34&lt;0), CALCULO!AQ34 * -1, 0)</f>
        <v>0</v>
      </c>
      <c r="AW37" s="212">
        <f>IF(AND(CALCULO!AT34&lt;&gt;"", CALCULO!AT34&lt;0), CALCULO!AT34 * -1, 0)</f>
        <v>0</v>
      </c>
      <c r="AX37" s="212">
        <f>IF(AND(CALCULO!AU34&lt;&gt;"", CALCULO!AU34&lt;0), CALCULO!AU34 * -1, 0)</f>
        <v>0</v>
      </c>
      <c r="AY37" s="212">
        <f t="shared" si="2"/>
        <v>0</v>
      </c>
      <c r="AZ37" s="146">
        <f t="shared" si="3"/>
        <v>0</v>
      </c>
      <c r="BB37" s="181">
        <f>IF(AND(CALCULO!AR33&lt;&gt;"", CALCULO!AR33&lt;0), CALCULO!AR33 * -1, 0)</f>
        <v>0</v>
      </c>
      <c r="BC37" s="181">
        <f>IF(AND(CALCULO!AS33&lt;&gt;"", CALCULO!AS33&lt;0), CALCULO!AS33 * -1, 0)</f>
        <v>0</v>
      </c>
      <c r="BG37" s="146">
        <f>IF(AND(CALCULO!AW33&lt;&gt;"", CALCULO!AW33&lt;0), CALCULO!WP33 * -1, 0)</f>
        <v>0</v>
      </c>
      <c r="BH37">
        <f>IF(AND(CALCULO!AX33&lt;&gt;"", CALCULO!AX33&lt;0), CALCULO!AX33 * -1, 0)</f>
        <v>0</v>
      </c>
    </row>
    <row r="38" spans="1:60" x14ac:dyDescent="0.25">
      <c r="A38" s="393"/>
      <c r="B38" s="174"/>
      <c r="C38" s="446" t="s">
        <v>67</v>
      </c>
      <c r="D38" s="243" t="s">
        <v>68</v>
      </c>
      <c r="E38" s="204">
        <f t="shared" si="1"/>
        <v>1</v>
      </c>
      <c r="F38" s="189" t="str">
        <f>IF(AND(CALCULO!D35&lt;&gt;"", CALCULO!D35&lt;0), CALCULO!D35 * -1, "")</f>
        <v/>
      </c>
      <c r="G38" s="190" t="str">
        <f>IF(AND(CALCULO!E35&lt;&gt;"", CALCULO!E35&lt;0), CALCULO!E35 * -1, "")</f>
        <v/>
      </c>
      <c r="H38" s="335">
        <f>IF(AND(CALCULO!F35&lt;&gt;"", CALCULO!F35&lt;0), CALCULO!F35 * -1, 0)</f>
        <v>0</v>
      </c>
      <c r="I38" s="336">
        <f>IF(AND(CALCULO!G35&lt;&gt;"", CALCULO!G35&lt;0), CALCULO!G35 * -1, 0)</f>
        <v>0</v>
      </c>
      <c r="J38" s="336">
        <f>IF(AND(CALCULO!H35&lt;&gt;"", CALCULO!H35&lt;0), CALCULO!H35 * -1, 0)</f>
        <v>0</v>
      </c>
      <c r="K38" s="336">
        <f>IF(AND(CALCULO!I35&lt;&gt;"", CALCULO!I35&lt;0), CALCULO!I35 * -1, 0)</f>
        <v>0</v>
      </c>
      <c r="L38" s="336">
        <f>IF(AND(CALCULO!J35&lt;&gt;"", CALCULO!J35&lt;0), CALCULO!J35 * -1, 0)</f>
        <v>0</v>
      </c>
      <c r="M38" s="336">
        <f>IF(AND(CALCULO!K35&lt;&gt;"", CALCULO!K35&lt;0), CALCULO!K35 * -1, 0)</f>
        <v>0</v>
      </c>
      <c r="N38" s="336">
        <f>IF(AND(CALCULO!L35&lt;&gt;"", CALCULO!L35&lt;0), CALCULO!L35 * -1, 0)</f>
        <v>0</v>
      </c>
      <c r="O38" s="336">
        <f>IF(AND(CALCULO!M35&lt;&gt;"", CALCULO!M35&lt;0), CALCULO!M35 * -1, 0)</f>
        <v>0</v>
      </c>
      <c r="P38" s="336">
        <f>IF(AND(CALCULO!N35&lt;&gt;"", CALCULO!N35&lt;0), CALCULO!N35 * -1, 0)</f>
        <v>0</v>
      </c>
      <c r="Q38" s="336">
        <f>IF(AND(CALCULO!O35&lt;&gt;"", CALCULO!O35&lt;0), CALCULO!O35 * -1, 0)</f>
        <v>0</v>
      </c>
      <c r="R38" s="336">
        <f>IF(AND(CALCULO!P35&lt;&gt;"", CALCULO!P35&lt;0), CALCULO!P35 * -1, 0)</f>
        <v>0</v>
      </c>
      <c r="S38" s="336">
        <f>IF(AND(CALCULO!Q35&lt;&gt;"", CALCULO!Q35&lt;0), CALCULO!Q35 * -1, 0)</f>
        <v>0</v>
      </c>
      <c r="T38" s="189">
        <f>IF(AND(CALCULO!R35&lt;&gt;"", CALCULO!R35&lt;0), CALCULO!R35 * -1, 0)</f>
        <v>0</v>
      </c>
      <c r="U38" s="189">
        <f>IF(AND(CALCULO!S35&lt;&gt;"", CALCULO!S35&lt;0), CALCULO!S35 * -1, 0)</f>
        <v>0</v>
      </c>
      <c r="V38" s="189">
        <f>IF(AND(CALCULO!T35&lt;&gt;"", CALCULO!T35&lt;0), CALCULO!T35 * -1, 0)</f>
        <v>0</v>
      </c>
      <c r="W38" s="189">
        <f>IF(AND(CALCULO!U35&lt;&gt;"", CALCULO!U35&lt;0), CALCULO!U35 * -1, 0)</f>
        <v>0</v>
      </c>
      <c r="X38" s="189">
        <f>IF(AND(CALCULO!V35&lt;&gt;"", CALCULO!V35&lt;0), CALCULO!V35 * -1, 0)</f>
        <v>0</v>
      </c>
      <c r="Y38" s="189">
        <f>IF(AND(CALCULO!W35&lt;&gt;"", CALCULO!W35&lt;0), CALCULO!W35 * -1, 0)</f>
        <v>0</v>
      </c>
      <c r="Z38" s="189">
        <f>IF(AND(CALCULO!X35&lt;&gt;"", CALCULO!X35&lt;0), CALCULO!X35 * -1, 0)</f>
        <v>0</v>
      </c>
      <c r="AA38" s="189">
        <f>IF(AND(CALCULO!Y35&lt;&gt;"", CALCULO!Y35&lt;0), CALCULO!Y35 * -1, 0)</f>
        <v>0</v>
      </c>
      <c r="AB38" s="189">
        <f>IF(AND(CALCULO!Z35&lt;&gt;"", CALCULO!Z35&lt;0), CALCULO!Z35 * -1, 0)</f>
        <v>0</v>
      </c>
      <c r="AC38" s="189">
        <f>IF(AND(CALCULO!AA35&lt;&gt;"", CALCULO!AA35&lt;0), CALCULO!AA35 * -1, 0)</f>
        <v>0</v>
      </c>
      <c r="AD38" s="189">
        <f>IF(AND(CALCULO!AB35&lt;&gt;"", CALCULO!AB35&lt;0), CALCULO!AB35 * -1, 0)</f>
        <v>0</v>
      </c>
      <c r="AE38" s="189">
        <f>IF(AND(CALCULO!AC35&lt;&gt;"", CALCULO!AC35&lt;0), CALCULO!AC35 * -1, 0)</f>
        <v>0</v>
      </c>
      <c r="AF38" s="189">
        <f>IF(AND(CALCULO!AD35&lt;&gt;"", CALCULO!AD35&lt;0), CALCULO!AD35 * -1, 0)</f>
        <v>0</v>
      </c>
      <c r="AG38" s="189">
        <f>IF(AND(CALCULO!AE35&lt;&gt;"", CALCULO!AE35&lt;0), CALCULO!AE35 * -1, 0)</f>
        <v>0</v>
      </c>
      <c r="AH38" s="189">
        <f>IF(AND(CALCULO!AF35&lt;&gt;"", CALCULO!AF35&lt;0), CALCULO!AF35 * -1, 0)</f>
        <v>1</v>
      </c>
      <c r="AI38" s="189">
        <f>IF(AND(CALCULO!AG35&lt;&gt;"", CALCULO!AG35&lt;0), CALCULO!AG35 * -1, 0)</f>
        <v>0</v>
      </c>
      <c r="AJ38" s="189">
        <f>IF(AND(CALCULO!AH35&lt;&gt;"", CALCULO!AH35&lt;0), CALCULO!AH35 * -1, 0)</f>
        <v>0</v>
      </c>
      <c r="AK38" s="189">
        <f>IF(AND(CALCULO!AI35&lt;&gt;"", CALCULO!AI35&lt;0), CALCULO!AI35 * -1, 0)</f>
        <v>0</v>
      </c>
      <c r="AL38" s="189">
        <f>IF(AND(CALCULO!AJ35&lt;&gt;"", CALCULO!AJ35&lt;0), CALCULO!AJ35 * -1, 0)</f>
        <v>0</v>
      </c>
      <c r="AM38" s="189">
        <f>IF(AND(CALCULO!AK35&lt;&gt;"", CALCULO!AK35&lt;0), CALCULO!AK35 * -1, 0)</f>
        <v>0</v>
      </c>
      <c r="AN38" s="189">
        <f>IF(AND(CALCULO!AL35&lt;&gt;"", CALCULO!AL35&lt;0), CALCULO!AL35 * -1, 0)</f>
        <v>0</v>
      </c>
      <c r="AO38" s="202">
        <f>IF(AND(CALCULO!AM35&lt;&gt;"", CALCULO!AM35&lt;0), CALCULO!AM35 * -1, 0)</f>
        <v>0</v>
      </c>
      <c r="AP38" s="321">
        <f>IF(E38-(ALTAS!C38+AQ38+AR38)&gt;=0,+E38-(ALTAS!C38+AQ38+AR38),"NEGATIVO")</f>
        <v>1</v>
      </c>
      <c r="AQ38" s="321">
        <f>+ALTAS!D38</f>
        <v>0</v>
      </c>
      <c r="AR38" s="321">
        <f>+ALTAS!E38</f>
        <v>0</v>
      </c>
      <c r="AS38" s="272">
        <f>IF(AND(CALCULO!AN35&lt;&gt;"", CALCULO!AN35&lt;0), CALCULO!AN35 * -1, 0)</f>
        <v>0</v>
      </c>
      <c r="AT38" s="272">
        <f>IF(AND(CALCULO!AO35&lt;&gt;"", CALCULO!AO35&lt;0), CALCULO!AO35 * -1, 0)</f>
        <v>0</v>
      </c>
      <c r="AU38" s="209">
        <f>IF(AND(CALCULO!AP35&lt;&gt;"", CALCULO!AP35&lt;0), CALCULO!AP35 * -1, 0)</f>
        <v>0</v>
      </c>
      <c r="AV38" s="209">
        <f>IF(AND(CALCULO!AQ35&lt;&gt;"", CALCULO!AQ35&lt;0), CALCULO!AQ35 * -1, 0)</f>
        <v>0</v>
      </c>
      <c r="AW38" s="209">
        <f>IF(AND(CALCULO!AT35&lt;&gt;"", CALCULO!AT35&lt;0), CALCULO!AT35 * -1, 0)</f>
        <v>0</v>
      </c>
      <c r="AX38" s="209">
        <f>IF(AND(CALCULO!AU35&lt;&gt;"", CALCULO!AU35&lt;0), CALCULO!AU35 * -1, 0)</f>
        <v>0</v>
      </c>
      <c r="AY38" s="209">
        <f t="shared" si="2"/>
        <v>0</v>
      </c>
      <c r="AZ38" s="146">
        <f t="shared" si="3"/>
        <v>0</v>
      </c>
      <c r="BB38" s="181">
        <f>IF(AND(CALCULO!AR34&lt;&gt;"", CALCULO!AR34&lt;0), CALCULO!AR34 * -1, 0)</f>
        <v>0</v>
      </c>
      <c r="BC38" s="181">
        <f>IF(AND(CALCULO!AS34&lt;&gt;"", CALCULO!AS34&lt;0), CALCULO!AS34 * -1, 0)</f>
        <v>0</v>
      </c>
      <c r="BG38" s="146">
        <f>IF(AND(CALCULO!AW34&lt;&gt;"", CALCULO!AW34&lt;0), CALCULO!WP34 * -1, 0)</f>
        <v>0</v>
      </c>
      <c r="BH38">
        <f>IF(AND(CALCULO!AX34&lt;&gt;"", CALCULO!AX34&lt;0), CALCULO!AX34 * -1, 0)</f>
        <v>0</v>
      </c>
    </row>
    <row r="39" spans="1:60" x14ac:dyDescent="0.25">
      <c r="A39" s="393"/>
      <c r="B39" s="174"/>
      <c r="C39" s="446"/>
      <c r="D39" s="243" t="s">
        <v>69</v>
      </c>
      <c r="E39" s="205">
        <f t="shared" si="1"/>
        <v>4</v>
      </c>
      <c r="F39" s="155" t="str">
        <f>IF(AND(CALCULO!D36&lt;&gt;"", CALCULO!D36&lt;0), CALCULO!D36 * -1, "")</f>
        <v/>
      </c>
      <c r="G39" s="191">
        <f>IF(AND(CALCULO!E36&lt;&gt;"", CALCULO!E36&lt;0), CALCULO!E36 * -1, "")</f>
        <v>2</v>
      </c>
      <c r="H39" s="337">
        <f>IF(AND(CALCULO!F36&lt;&gt;"", CALCULO!F36&lt;0), CALCULO!F36 * -1, 0)</f>
        <v>0</v>
      </c>
      <c r="I39" s="338">
        <f>IF(AND(CALCULO!G36&lt;&gt;"", CALCULO!G36&lt;0), CALCULO!G36 * -1, 0)</f>
        <v>0</v>
      </c>
      <c r="J39" s="338">
        <f>IF(AND(CALCULO!H36&lt;&gt;"", CALCULO!H36&lt;0), CALCULO!H36 * -1, 0)</f>
        <v>0</v>
      </c>
      <c r="K39" s="338">
        <f>IF(AND(CALCULO!I36&lt;&gt;"", CALCULO!I36&lt;0), CALCULO!I36 * -1, 0)</f>
        <v>0</v>
      </c>
      <c r="L39" s="338">
        <f>IF(AND(CALCULO!J36&lt;&gt;"", CALCULO!J36&lt;0), CALCULO!J36 * -1, 0)</f>
        <v>0</v>
      </c>
      <c r="M39" s="338">
        <f>IF(AND(CALCULO!K36&lt;&gt;"", CALCULO!K36&lt;0), CALCULO!K36 * -1, 0)</f>
        <v>0</v>
      </c>
      <c r="N39" s="338">
        <f>IF(AND(CALCULO!L36&lt;&gt;"", CALCULO!L36&lt;0), CALCULO!L36 * -1, 0)</f>
        <v>0</v>
      </c>
      <c r="O39" s="338">
        <f>IF(AND(CALCULO!M36&lt;&gt;"", CALCULO!M36&lt;0), CALCULO!M36 * -1, 0)</f>
        <v>0</v>
      </c>
      <c r="P39" s="338">
        <f>IF(AND(CALCULO!N36&lt;&gt;"", CALCULO!N36&lt;0), CALCULO!N36 * -1, 0)</f>
        <v>0</v>
      </c>
      <c r="Q39" s="338">
        <f>IF(AND(CALCULO!O36&lt;&gt;"", CALCULO!O36&lt;0), CALCULO!O36 * -1, 0)</f>
        <v>0</v>
      </c>
      <c r="R39" s="338">
        <f>IF(AND(CALCULO!P36&lt;&gt;"", CALCULO!P36&lt;0), CALCULO!P36 * -1, 0)</f>
        <v>0</v>
      </c>
      <c r="S39" s="338">
        <f>IF(AND(CALCULO!Q36&lt;&gt;"", CALCULO!Q36&lt;0), CALCULO!Q36 * -1, 0)</f>
        <v>0</v>
      </c>
      <c r="T39" s="155">
        <f>IF(AND(CALCULO!R36&lt;&gt;"", CALCULO!R36&lt;0), CALCULO!R36 * -1, 0)</f>
        <v>0</v>
      </c>
      <c r="U39" s="155">
        <f>IF(AND(CALCULO!S36&lt;&gt;"", CALCULO!S36&lt;0), CALCULO!S36 * -1, 0)</f>
        <v>0</v>
      </c>
      <c r="V39" s="155">
        <f>IF(AND(CALCULO!T36&lt;&gt;"", CALCULO!T36&lt;0), CALCULO!T36 * -1, 0)</f>
        <v>0</v>
      </c>
      <c r="W39" s="155">
        <f>IF(AND(CALCULO!U36&lt;&gt;"", CALCULO!U36&lt;0), CALCULO!U36 * -1, 0)</f>
        <v>0</v>
      </c>
      <c r="X39" s="155">
        <f>IF(AND(CALCULO!V36&lt;&gt;"", CALCULO!V36&lt;0), CALCULO!V36 * -1, 0)</f>
        <v>0</v>
      </c>
      <c r="Y39" s="155">
        <f>IF(AND(CALCULO!W36&lt;&gt;"", CALCULO!W36&lt;0), CALCULO!W36 * -1, 0)</f>
        <v>0</v>
      </c>
      <c r="Z39" s="155">
        <f>IF(AND(CALCULO!X36&lt;&gt;"", CALCULO!X36&lt;0), CALCULO!X36 * -1, 0)</f>
        <v>0</v>
      </c>
      <c r="AA39" s="155">
        <f>IF(AND(CALCULO!Y36&lt;&gt;"", CALCULO!Y36&lt;0), CALCULO!Y36 * -1, 0)</f>
        <v>0</v>
      </c>
      <c r="AB39" s="155">
        <f>IF(AND(CALCULO!Z36&lt;&gt;"", CALCULO!Z36&lt;0), CALCULO!Z36 * -1, 0)</f>
        <v>0</v>
      </c>
      <c r="AC39" s="155">
        <f>IF(AND(CALCULO!AA36&lt;&gt;"", CALCULO!AA36&lt;0), CALCULO!AA36 * -1, 0)</f>
        <v>0</v>
      </c>
      <c r="AD39" s="155">
        <f>IF(AND(CALCULO!AB36&lt;&gt;"", CALCULO!AB36&lt;0), CALCULO!AB36 * -1, 0)</f>
        <v>0</v>
      </c>
      <c r="AE39" s="155">
        <f>IF(AND(CALCULO!AC36&lt;&gt;"", CALCULO!AC36&lt;0), CALCULO!AC36 * -1, 0)</f>
        <v>0</v>
      </c>
      <c r="AF39" s="155">
        <f>IF(AND(CALCULO!AD36&lt;&gt;"", CALCULO!AD36&lt;0), CALCULO!AD36 * -1, 0)</f>
        <v>2</v>
      </c>
      <c r="AG39" s="155">
        <f>IF(AND(CALCULO!AE36&lt;&gt;"", CALCULO!AE36&lt;0), CALCULO!AE36 * -1, 0)</f>
        <v>0</v>
      </c>
      <c r="AH39" s="155">
        <f>IF(AND(CALCULO!AF36&lt;&gt;"", CALCULO!AF36&lt;0), CALCULO!AF36 * -1, 0)</f>
        <v>0</v>
      </c>
      <c r="AI39" s="155">
        <f>IF(AND(CALCULO!AG36&lt;&gt;"", CALCULO!AG36&lt;0), CALCULO!AG36 * -1, 0)</f>
        <v>0</v>
      </c>
      <c r="AJ39" s="155">
        <f>IF(AND(CALCULO!AH36&lt;&gt;"", CALCULO!AH36&lt;0), CALCULO!AH36 * -1, 0)</f>
        <v>0</v>
      </c>
      <c r="AK39" s="155">
        <f>IF(AND(CALCULO!AI36&lt;&gt;"", CALCULO!AI36&lt;0), CALCULO!AI36 * -1, 0)</f>
        <v>0</v>
      </c>
      <c r="AL39" s="155">
        <f>IF(AND(CALCULO!AJ36&lt;&gt;"", CALCULO!AJ36&lt;0), CALCULO!AJ36 * -1, 0)</f>
        <v>0</v>
      </c>
      <c r="AM39" s="155">
        <f>IF(AND(CALCULO!AK36&lt;&gt;"", CALCULO!AK36&lt;0), CALCULO!AK36 * -1, 0)</f>
        <v>0</v>
      </c>
      <c r="AN39" s="155">
        <f>IF(AND(CALCULO!AL36&lt;&gt;"", CALCULO!AL36&lt;0), CALCULO!AL36 * -1, 0)</f>
        <v>0</v>
      </c>
      <c r="AO39" s="164">
        <f>IF(AND(CALCULO!AM36&lt;&gt;"", CALCULO!AM36&lt;0), CALCULO!AM36 * -1, 0)</f>
        <v>2</v>
      </c>
      <c r="AP39" s="321">
        <f>IF(E39-(ALTAS!C39+AQ39+AR39)&gt;=0,+E39-(ALTAS!C39+AQ39+AR39),"NEGATIVO")</f>
        <v>4</v>
      </c>
      <c r="AQ39" s="321">
        <f>+ALTAS!D39</f>
        <v>0</v>
      </c>
      <c r="AR39" s="321">
        <f>+ALTAS!E39</f>
        <v>0</v>
      </c>
      <c r="AS39" s="273">
        <f>IF(AND(CALCULO!AN36&lt;&gt;"", CALCULO!AN36&lt;0), CALCULO!AN36 * -1, 0)</f>
        <v>0</v>
      </c>
      <c r="AT39" s="273">
        <f>IF(AND(CALCULO!AO36&lt;&gt;"", CALCULO!AO36&lt;0), CALCULO!AO36 * -1, 0)</f>
        <v>0</v>
      </c>
      <c r="AU39">
        <f>IF(AND(CALCULO!AP36&lt;&gt;"", CALCULO!AP36&lt;0), CALCULO!AP36 * -1, 0)</f>
        <v>0</v>
      </c>
      <c r="AV39">
        <f>IF(AND(CALCULO!AQ36&lt;&gt;"", CALCULO!AQ36&lt;0), CALCULO!AQ36 * -1, 0)</f>
        <v>0</v>
      </c>
      <c r="AW39">
        <f>IF(AND(CALCULO!AT36&lt;&gt;"", CALCULO!AT36&lt;0), CALCULO!AT36 * -1, 0)</f>
        <v>0</v>
      </c>
      <c r="AX39">
        <f>IF(AND(CALCULO!AU36&lt;&gt;"", CALCULO!AU36&lt;0), CALCULO!AU36 * -1, 0)</f>
        <v>0</v>
      </c>
      <c r="AY39">
        <f t="shared" si="2"/>
        <v>0</v>
      </c>
      <c r="AZ39" s="146">
        <f t="shared" si="3"/>
        <v>0</v>
      </c>
      <c r="BB39" s="181">
        <f>IF(AND(CALCULO!AR35&lt;&gt;"", CALCULO!AR35&lt;0), CALCULO!AR35 * -1, 0)</f>
        <v>0</v>
      </c>
      <c r="BC39" s="181">
        <f>IF(AND(CALCULO!AS35&lt;&gt;"", CALCULO!AS35&lt;0), CALCULO!AS35 * -1, 0)</f>
        <v>0</v>
      </c>
      <c r="BG39" s="146">
        <f>IF(AND(CALCULO!AW35&lt;&gt;"", CALCULO!AW35&lt;0), CALCULO!WP35 * -1, 0)</f>
        <v>0</v>
      </c>
      <c r="BH39">
        <f>IF(AND(CALCULO!AX35&lt;&gt;"", CALCULO!AX35&lt;0), CALCULO!AX35 * -1, 0)</f>
        <v>0</v>
      </c>
    </row>
    <row r="40" spans="1:60" ht="15.75" thickBot="1" x14ac:dyDescent="0.3">
      <c r="A40" s="394"/>
      <c r="B40" s="224"/>
      <c r="C40" s="446"/>
      <c r="D40" s="243" t="s">
        <v>70</v>
      </c>
      <c r="E40" s="251">
        <f t="shared" si="1"/>
        <v>0</v>
      </c>
      <c r="F40" s="184" t="str">
        <f>IF(AND(CALCULO!D37&lt;&gt;"", CALCULO!D37&lt;0), CALCULO!D37 * -1, "")</f>
        <v/>
      </c>
      <c r="G40" s="252" t="str">
        <f>IF(AND(CALCULO!E37&lt;&gt;"", CALCULO!E37&lt;0), CALCULO!E37 * -1, "")</f>
        <v/>
      </c>
      <c r="H40" s="339">
        <f>IF(AND(CALCULO!F37&lt;&gt;"", CALCULO!F37&lt;0), CALCULO!F37 * -1, 0)</f>
        <v>0</v>
      </c>
      <c r="I40" s="340">
        <f>IF(AND(CALCULO!G37&lt;&gt;"", CALCULO!G37&lt;0), CALCULO!G37 * -1, 0)</f>
        <v>0</v>
      </c>
      <c r="J40" s="340">
        <f>IF(AND(CALCULO!H37&lt;&gt;"", CALCULO!H37&lt;0), CALCULO!H37 * -1, 0)</f>
        <v>0</v>
      </c>
      <c r="K40" s="340">
        <f>IF(AND(CALCULO!I37&lt;&gt;"", CALCULO!I37&lt;0), CALCULO!I37 * -1, 0)</f>
        <v>0</v>
      </c>
      <c r="L40" s="340">
        <f>IF(AND(CALCULO!J37&lt;&gt;"", CALCULO!J37&lt;0), CALCULO!J37 * -1, 0)</f>
        <v>0</v>
      </c>
      <c r="M40" s="340">
        <f>IF(AND(CALCULO!K37&lt;&gt;"", CALCULO!K37&lt;0), CALCULO!K37 * -1, 0)</f>
        <v>0</v>
      </c>
      <c r="N40" s="340">
        <f>IF(AND(CALCULO!L37&lt;&gt;"", CALCULO!L37&lt;0), CALCULO!L37 * -1, 0)</f>
        <v>0</v>
      </c>
      <c r="O40" s="340">
        <f>IF(AND(CALCULO!M37&lt;&gt;"", CALCULO!M37&lt;0), CALCULO!M37 * -1, 0)</f>
        <v>0</v>
      </c>
      <c r="P40" s="340">
        <f>IF(AND(CALCULO!N37&lt;&gt;"", CALCULO!N37&lt;0), CALCULO!N37 * -1, 0)</f>
        <v>0</v>
      </c>
      <c r="Q40" s="340">
        <f>IF(AND(CALCULO!O37&lt;&gt;"", CALCULO!O37&lt;0), CALCULO!O37 * -1, 0)</f>
        <v>0</v>
      </c>
      <c r="R40" s="340">
        <f>IF(AND(CALCULO!P37&lt;&gt;"", CALCULO!P37&lt;0), CALCULO!P37 * -1, 0)</f>
        <v>0</v>
      </c>
      <c r="S40" s="340">
        <f>IF(AND(CALCULO!Q37&lt;&gt;"", CALCULO!Q37&lt;0), CALCULO!Q37 * -1, 0)</f>
        <v>0</v>
      </c>
      <c r="T40" s="184">
        <f>IF(AND(CALCULO!R37&lt;&gt;"", CALCULO!R37&lt;0), CALCULO!R37 * -1, 0)</f>
        <v>0</v>
      </c>
      <c r="U40" s="184">
        <f>IF(AND(CALCULO!S37&lt;&gt;"", CALCULO!S37&lt;0), CALCULO!S37 * -1, 0)</f>
        <v>0</v>
      </c>
      <c r="V40" s="184">
        <f>IF(AND(CALCULO!T37&lt;&gt;"", CALCULO!T37&lt;0), CALCULO!T37 * -1, 0)</f>
        <v>0</v>
      </c>
      <c r="W40" s="184">
        <f>IF(AND(CALCULO!U37&lt;&gt;"", CALCULO!U37&lt;0), CALCULO!U37 * -1, 0)</f>
        <v>0</v>
      </c>
      <c r="X40" s="184">
        <f>IF(AND(CALCULO!V37&lt;&gt;"", CALCULO!V37&lt;0), CALCULO!V37 * -1, 0)</f>
        <v>0</v>
      </c>
      <c r="Y40" s="184">
        <f>IF(AND(CALCULO!W37&lt;&gt;"", CALCULO!W37&lt;0), CALCULO!W37 * -1, 0)</f>
        <v>0</v>
      </c>
      <c r="Z40" s="184">
        <f>IF(AND(CALCULO!X37&lt;&gt;"", CALCULO!X37&lt;0), CALCULO!X37 * -1, 0)</f>
        <v>0</v>
      </c>
      <c r="AA40" s="184">
        <f>IF(AND(CALCULO!Y37&lt;&gt;"", CALCULO!Y37&lt;0), CALCULO!Y37 * -1, 0)</f>
        <v>0</v>
      </c>
      <c r="AB40" s="184">
        <f>IF(AND(CALCULO!Z37&lt;&gt;"", CALCULO!Z37&lt;0), CALCULO!Z37 * -1, 0)</f>
        <v>0</v>
      </c>
      <c r="AC40" s="184">
        <f>IF(AND(CALCULO!AA37&lt;&gt;"", CALCULO!AA37&lt;0), CALCULO!AA37 * -1, 0)</f>
        <v>0</v>
      </c>
      <c r="AD40" s="184">
        <f>IF(AND(CALCULO!AB37&lt;&gt;"", CALCULO!AB37&lt;0), CALCULO!AB37 * -1, 0)</f>
        <v>0</v>
      </c>
      <c r="AE40" s="184">
        <f>IF(AND(CALCULO!AC37&lt;&gt;"", CALCULO!AC37&lt;0), CALCULO!AC37 * -1, 0)</f>
        <v>0</v>
      </c>
      <c r="AF40" s="184">
        <f>IF(AND(CALCULO!AD37&lt;&gt;"", CALCULO!AD37&lt;0), CALCULO!AD37 * -1, 0)</f>
        <v>0</v>
      </c>
      <c r="AG40" s="184">
        <f>IF(AND(CALCULO!AE37&lt;&gt;"", CALCULO!AE37&lt;0), CALCULO!AE37 * -1, 0)</f>
        <v>0</v>
      </c>
      <c r="AH40" s="184">
        <f>IF(AND(CALCULO!AF37&lt;&gt;"", CALCULO!AF37&lt;0), CALCULO!AF37 * -1, 0)</f>
        <v>0</v>
      </c>
      <c r="AI40" s="184">
        <f>IF(AND(CALCULO!AG37&lt;&gt;"", CALCULO!AG37&lt;0), CALCULO!AG37 * -1, 0)</f>
        <v>0</v>
      </c>
      <c r="AJ40" s="184">
        <f>IF(AND(CALCULO!AH37&lt;&gt;"", CALCULO!AH37&lt;0), CALCULO!AH37 * -1, 0)</f>
        <v>0</v>
      </c>
      <c r="AK40" s="184">
        <f>IF(AND(CALCULO!AI37&lt;&gt;"", CALCULO!AI37&lt;0), CALCULO!AI37 * -1, 0)</f>
        <v>0</v>
      </c>
      <c r="AL40" s="184">
        <f>IF(AND(CALCULO!AJ37&lt;&gt;"", CALCULO!AJ37&lt;0), CALCULO!AJ37 * -1, 0)</f>
        <v>0</v>
      </c>
      <c r="AM40" s="184">
        <f>IF(AND(CALCULO!AK37&lt;&gt;"", CALCULO!AK37&lt;0), CALCULO!AK37 * -1, 0)</f>
        <v>0</v>
      </c>
      <c r="AN40" s="184">
        <f>IF(AND(CALCULO!AL37&lt;&gt;"", CALCULO!AL37&lt;0), CALCULO!AL37 * -1, 0)</f>
        <v>0</v>
      </c>
      <c r="AO40" s="290">
        <f>IF(AND(CALCULO!AM37&lt;&gt;"", CALCULO!AM37&lt;0), CALCULO!AM37 * -1, 0)</f>
        <v>0</v>
      </c>
      <c r="AP40" s="321">
        <f>IF(E40-(ALTAS!C40+AQ40+AR40)&gt;=0,+E40-(ALTAS!C40+AQ40+AR40),"NEGATIVO")</f>
        <v>0</v>
      </c>
      <c r="AQ40" s="321">
        <f>+ALTAS!D40</f>
        <v>0</v>
      </c>
      <c r="AR40" s="321">
        <f>+ALTAS!E40</f>
        <v>0</v>
      </c>
      <c r="AS40" s="274">
        <f>IF(AND(CALCULO!AN37&lt;&gt;"", CALCULO!AN37&lt;0), CALCULO!AN37 * -1, 0)</f>
        <v>0</v>
      </c>
      <c r="AT40" s="274">
        <f>IF(AND(CALCULO!AO37&lt;&gt;"", CALCULO!AO37&lt;0), CALCULO!AO37 * -1, 0)</f>
        <v>0</v>
      </c>
      <c r="AU40" s="212">
        <f>IF(AND(CALCULO!AP37&lt;&gt;"", CALCULO!AP37&lt;0), CALCULO!AP37 * -1, 0)</f>
        <v>0</v>
      </c>
      <c r="AV40" s="212">
        <f>IF(AND(CALCULO!AQ37&lt;&gt;"", CALCULO!AQ37&lt;0), CALCULO!AQ37 * -1, 0)</f>
        <v>0</v>
      </c>
      <c r="AW40" s="212">
        <f>IF(AND(CALCULO!AT37&lt;&gt;"", CALCULO!AT37&lt;0), CALCULO!AT37 * -1, 0)</f>
        <v>0</v>
      </c>
      <c r="AX40" s="212">
        <f>IF(AND(CALCULO!AU37&lt;&gt;"", CALCULO!AU37&lt;0), CALCULO!AU37 * -1, 0)</f>
        <v>0</v>
      </c>
      <c r="AY40" s="212">
        <f t="shared" si="2"/>
        <v>0</v>
      </c>
      <c r="AZ40" s="146">
        <f t="shared" si="3"/>
        <v>0</v>
      </c>
      <c r="BB40" s="181">
        <f>IF(AND(CALCULO!AR36&lt;&gt;"", CALCULO!AR36&lt;0), CALCULO!AR36 * -1, 0)</f>
        <v>0</v>
      </c>
      <c r="BC40" s="181">
        <f>IF(AND(CALCULO!AS36&lt;&gt;"", CALCULO!AS36&lt;0), CALCULO!AS36 * -1, 0)</f>
        <v>0</v>
      </c>
      <c r="BG40" s="146">
        <f>IF(AND(CALCULO!AW36&lt;&gt;"", CALCULO!AW36&lt;0), CALCULO!WP36 * -1, 0)</f>
        <v>0</v>
      </c>
      <c r="BH40">
        <f>IF(AND(CALCULO!AX36&lt;&gt;"", CALCULO!AX36&lt;0), CALCULO!AX36 * -1, 0)</f>
        <v>0</v>
      </c>
    </row>
    <row r="41" spans="1:60" x14ac:dyDescent="0.25">
      <c r="A41" s="374"/>
      <c r="B41" s="222"/>
      <c r="C41" s="449" t="s">
        <v>71</v>
      </c>
      <c r="D41" s="450"/>
      <c r="E41" s="204">
        <f t="shared" si="1"/>
        <v>0</v>
      </c>
      <c r="F41" s="189" t="str">
        <f>IF(AND(CALCULO!D38&lt;&gt;"", CALCULO!D38&lt;0), CALCULO!D38 * -1, "")</f>
        <v/>
      </c>
      <c r="G41" s="190" t="str">
        <f>IF(AND(CALCULO!E38&lt;&gt;"", CALCULO!E38&lt;0), CALCULO!E38 * -1, "")</f>
        <v/>
      </c>
      <c r="H41" s="264">
        <f>IF(AND(CALCULO!F38&lt;&gt;"", CALCULO!F38&lt;0), CALCULO!F38 * -1, 0)</f>
        <v>0</v>
      </c>
      <c r="I41" s="189">
        <f>IF(AND(CALCULO!G38&lt;&gt;"", CALCULO!G38&lt;0), CALCULO!G38 * -1, 0)</f>
        <v>0</v>
      </c>
      <c r="J41" s="189">
        <f>IF(AND(CALCULO!H38&lt;&gt;"", CALCULO!H38&lt;0), CALCULO!H38 * -1, 0)</f>
        <v>0</v>
      </c>
      <c r="K41" s="189">
        <f>IF(AND(CALCULO!I38&lt;&gt;"", CALCULO!I38&lt;0), CALCULO!I38 * -1, 0)</f>
        <v>0</v>
      </c>
      <c r="L41" s="189">
        <f>IF(AND(CALCULO!J38&lt;&gt;"", CALCULO!J38&lt;0), CALCULO!J38 * -1, 0)</f>
        <v>0</v>
      </c>
      <c r="M41" s="189">
        <f>IF(AND(CALCULO!K38&lt;&gt;"", CALCULO!K38&lt;0), CALCULO!K38 * -1, 0)</f>
        <v>0</v>
      </c>
      <c r="N41" s="189">
        <f>IF(AND(CALCULO!L38&lt;&gt;"", CALCULO!L38&lt;0), CALCULO!L38 * -1, 0)</f>
        <v>0</v>
      </c>
      <c r="O41" s="189">
        <f>IF(AND(CALCULO!M38&lt;&gt;"", CALCULO!M38&lt;0), CALCULO!M38 * -1, 0)</f>
        <v>0</v>
      </c>
      <c r="P41" s="189">
        <f>IF(AND(CALCULO!N38&lt;&gt;"", CALCULO!N38&lt;0), CALCULO!N38 * -1, 0)</f>
        <v>0</v>
      </c>
      <c r="Q41" s="189">
        <f>IF(AND(CALCULO!O38&lt;&gt;"", CALCULO!O38&lt;0), CALCULO!O38 * -1, 0)</f>
        <v>0</v>
      </c>
      <c r="R41" s="189">
        <f>IF(AND(CALCULO!P38&lt;&gt;"", CALCULO!P38&lt;0), CALCULO!P38 * -1, 0)</f>
        <v>0</v>
      </c>
      <c r="S41" s="189">
        <f>IF(AND(CALCULO!Q38&lt;&gt;"", CALCULO!Q38&lt;0), CALCULO!Q38 * -1, 0)</f>
        <v>0</v>
      </c>
      <c r="T41" s="189">
        <f>IF(AND(CALCULO!R38&lt;&gt;"", CALCULO!R38&lt;0), CALCULO!R38 * -1, 0)</f>
        <v>0</v>
      </c>
      <c r="U41" s="189">
        <f>IF(AND(CALCULO!S38&lt;&gt;"", CALCULO!S38&lt;0), CALCULO!S38 * -1, 0)</f>
        <v>0</v>
      </c>
      <c r="V41" s="189">
        <f>IF(AND(CALCULO!T38&lt;&gt;"", CALCULO!T38&lt;0), CALCULO!T38 * -1, 0)</f>
        <v>0</v>
      </c>
      <c r="W41" s="189">
        <f>IF(AND(CALCULO!U38&lt;&gt;"", CALCULO!U38&lt;0), CALCULO!U38 * -1, 0)</f>
        <v>0</v>
      </c>
      <c r="X41" s="189">
        <f>IF(AND(CALCULO!V38&lt;&gt;"", CALCULO!V38&lt;0), CALCULO!V38 * -1, 0)</f>
        <v>0</v>
      </c>
      <c r="Y41" s="189">
        <f>IF(AND(CALCULO!W38&lt;&gt;"", CALCULO!W38&lt;0), CALCULO!W38 * -1, 0)</f>
        <v>0</v>
      </c>
      <c r="Z41" s="189">
        <f>IF(AND(CALCULO!X38&lt;&gt;"", CALCULO!X38&lt;0), CALCULO!X38 * -1, 0)</f>
        <v>0</v>
      </c>
      <c r="AA41" s="189">
        <f>IF(AND(CALCULO!Y38&lt;&gt;"", CALCULO!Y38&lt;0), CALCULO!Y38 * -1, 0)</f>
        <v>0</v>
      </c>
      <c r="AB41" s="189">
        <f>IF(AND(CALCULO!Z38&lt;&gt;"", CALCULO!Z38&lt;0), CALCULO!Z38 * -1, 0)</f>
        <v>0</v>
      </c>
      <c r="AC41" s="189">
        <f>IF(AND(CALCULO!AA38&lt;&gt;"", CALCULO!AA38&lt;0), CALCULO!AA38 * -1, 0)</f>
        <v>0</v>
      </c>
      <c r="AD41" s="189">
        <f>IF(AND(CALCULO!AB38&lt;&gt;"", CALCULO!AB38&lt;0), CALCULO!AB38 * -1, 0)</f>
        <v>0</v>
      </c>
      <c r="AE41" s="189">
        <f>IF(AND(CALCULO!AC38&lt;&gt;"", CALCULO!AC38&lt;0), CALCULO!AC38 * -1, 0)</f>
        <v>0</v>
      </c>
      <c r="AF41" s="189">
        <f>IF(AND(CALCULO!AD38&lt;&gt;"", CALCULO!AD38&lt;0), CALCULO!AD38 * -1, 0)</f>
        <v>0</v>
      </c>
      <c r="AG41" s="189">
        <f>IF(AND(CALCULO!AE38&lt;&gt;"", CALCULO!AE38&lt;0), CALCULO!AE38 * -1, 0)</f>
        <v>0</v>
      </c>
      <c r="AH41" s="189">
        <f>IF(AND(CALCULO!AF38&lt;&gt;"", CALCULO!AF38&lt;0), CALCULO!AF38 * -1, 0)</f>
        <v>0</v>
      </c>
      <c r="AI41" s="189">
        <f>IF(AND(CALCULO!AG38&lt;&gt;"", CALCULO!AG38&lt;0), CALCULO!AG38 * -1, 0)</f>
        <v>0</v>
      </c>
      <c r="AJ41" s="189">
        <f>IF(AND(CALCULO!AH38&lt;&gt;"", CALCULO!AH38&lt;0), CALCULO!AH38 * -1, 0)</f>
        <v>0</v>
      </c>
      <c r="AK41" s="189">
        <f>IF(AND(CALCULO!AI38&lt;&gt;"", CALCULO!AI38&lt;0), CALCULO!AI38 * -1, 0)</f>
        <v>0</v>
      </c>
      <c r="AL41" s="189">
        <f>IF(AND(CALCULO!AJ38&lt;&gt;"", CALCULO!AJ38&lt;0), CALCULO!AJ38 * -1, 0)</f>
        <v>0</v>
      </c>
      <c r="AM41" s="189">
        <f>IF(AND(CALCULO!AK38&lt;&gt;"", CALCULO!AK38&lt;0), CALCULO!AK38 * -1, 0)</f>
        <v>0</v>
      </c>
      <c r="AN41" s="189">
        <f>IF(AND(CALCULO!AL38&lt;&gt;"", CALCULO!AL38&lt;0), CALCULO!AL38 * -1, 0)</f>
        <v>0</v>
      </c>
      <c r="AO41" s="202">
        <f>IF(AND(CALCULO!AM38&lt;&gt;"", CALCULO!AM38&lt;0), CALCULO!AM38 * -1, 0)</f>
        <v>0</v>
      </c>
      <c r="AP41" s="321">
        <f>IF(E41-(ALTAS!C41+AQ41+AR41)&gt;=0,+E41-(ALTAS!C41+AQ41+AR41),"NEGATIVO")</f>
        <v>0</v>
      </c>
      <c r="AQ41" s="321">
        <f>+ALTAS!D41</f>
        <v>0</v>
      </c>
      <c r="AR41" s="321">
        <f>+ALTAS!E41</f>
        <v>0</v>
      </c>
      <c r="AS41" s="247">
        <f>IF(AND(CALCULO!AN38&lt;&gt;"", CALCULO!AN38&lt;0), CALCULO!AN38 * -1, 0)</f>
        <v>0</v>
      </c>
      <c r="AT41" s="247">
        <f>IF(AND(CALCULO!AO38&lt;&gt;"", CALCULO!AO38&lt;0), CALCULO!AO38 * -1, 0)</f>
        <v>0</v>
      </c>
      <c r="AU41" s="209">
        <f>IF(AND(CALCULO!AP38&lt;&gt;"", CALCULO!AP38&lt;0), CALCULO!AP38 * -1, 0)</f>
        <v>0</v>
      </c>
      <c r="AV41" s="209">
        <f>IF(AND(CALCULO!AQ38&lt;&gt;"", CALCULO!AQ38&lt;0), CALCULO!AQ38 * -1, 0)</f>
        <v>0</v>
      </c>
      <c r="AW41" s="209">
        <f>IF(AND(CALCULO!AT38&lt;&gt;"", CALCULO!AT38&lt;0), CALCULO!AT38 * -1, 0)</f>
        <v>0</v>
      </c>
      <c r="AX41" s="209">
        <f>IF(AND(CALCULO!AU38&lt;&gt;"", CALCULO!AU38&lt;0), CALCULO!AU38 * -1, 0)</f>
        <v>0</v>
      </c>
      <c r="AY41" s="209">
        <f t="shared" si="2"/>
        <v>0</v>
      </c>
      <c r="AZ41" s="146">
        <f t="shared" si="3"/>
        <v>0</v>
      </c>
      <c r="BB41" s="181">
        <f>IF(AND(CALCULO!AR37&lt;&gt;"", CALCULO!AR37&lt;0), CALCULO!AR37 * -1, 0)</f>
        <v>0</v>
      </c>
      <c r="BC41" s="181">
        <f>IF(AND(CALCULO!AS37&lt;&gt;"", CALCULO!AS37&lt;0), CALCULO!AS37 * -1, 0)</f>
        <v>0</v>
      </c>
      <c r="BG41" s="146">
        <f>IF(AND(CALCULO!AW37&lt;&gt;"", CALCULO!AW37&lt;0), CALCULO!WP37 * -1, 0)</f>
        <v>0</v>
      </c>
      <c r="BH41">
        <f>IF(AND(CALCULO!AX37&lt;&gt;"", CALCULO!AX37&lt;0), CALCULO!AX37 * -1, 0)</f>
        <v>0</v>
      </c>
    </row>
    <row r="42" spans="1:60" ht="22.5" x14ac:dyDescent="0.25">
      <c r="A42" s="375"/>
      <c r="B42" s="174"/>
      <c r="C42" s="162" t="s">
        <v>72</v>
      </c>
      <c r="D42" s="244"/>
      <c r="E42" s="205">
        <f t="shared" si="1"/>
        <v>0</v>
      </c>
      <c r="F42" s="155" t="str">
        <f>IF(AND(CALCULO!D39&lt;&gt;"", CALCULO!D39&lt;0), CALCULO!D39 * -1, "")</f>
        <v/>
      </c>
      <c r="G42" s="191" t="str">
        <f>IF(AND(CALCULO!E39&lt;&gt;"", CALCULO!E39&lt;0), CALCULO!E39 * -1, "")</f>
        <v/>
      </c>
      <c r="H42" s="265">
        <f>IF(AND(CALCULO!F39&lt;&gt;"", CALCULO!F39&lt;0), CALCULO!F39 * -1, 0)</f>
        <v>0</v>
      </c>
      <c r="I42" s="155">
        <f>IF(AND(CALCULO!G39&lt;&gt;"", CALCULO!G39&lt;0), CALCULO!G39 * -1, 0)</f>
        <v>0</v>
      </c>
      <c r="J42" s="155">
        <f>IF(AND(CALCULO!H39&lt;&gt;"", CALCULO!H39&lt;0), CALCULO!H39 * -1, 0)</f>
        <v>0</v>
      </c>
      <c r="K42" s="155">
        <f>IF(AND(CALCULO!I39&lt;&gt;"", CALCULO!I39&lt;0), CALCULO!I39 * -1, 0)</f>
        <v>0</v>
      </c>
      <c r="L42" s="155">
        <f>IF(AND(CALCULO!J39&lt;&gt;"", CALCULO!J39&lt;0), CALCULO!J39 * -1, 0)</f>
        <v>0</v>
      </c>
      <c r="M42" s="155">
        <f>IF(AND(CALCULO!K39&lt;&gt;"", CALCULO!K39&lt;0), CALCULO!K39 * -1, 0)</f>
        <v>0</v>
      </c>
      <c r="N42" s="155">
        <f>IF(AND(CALCULO!L39&lt;&gt;"", CALCULO!L39&lt;0), CALCULO!L39 * -1, 0)</f>
        <v>0</v>
      </c>
      <c r="O42" s="155">
        <f>IF(AND(CALCULO!M39&lt;&gt;"", CALCULO!M39&lt;0), CALCULO!M39 * -1, 0)</f>
        <v>0</v>
      </c>
      <c r="P42" s="155">
        <f>IF(AND(CALCULO!N39&lt;&gt;"", CALCULO!N39&lt;0), CALCULO!N39 * -1, 0)</f>
        <v>0</v>
      </c>
      <c r="Q42" s="155">
        <f>IF(AND(CALCULO!O39&lt;&gt;"", CALCULO!O39&lt;0), CALCULO!O39 * -1, 0)</f>
        <v>0</v>
      </c>
      <c r="R42" s="155">
        <f>IF(AND(CALCULO!P39&lt;&gt;"", CALCULO!P39&lt;0), CALCULO!P39 * -1, 0)</f>
        <v>0</v>
      </c>
      <c r="S42" s="155">
        <f>IF(AND(CALCULO!Q39&lt;&gt;"", CALCULO!Q39&lt;0), CALCULO!Q39 * -1, 0)</f>
        <v>0</v>
      </c>
      <c r="T42" s="155">
        <f>IF(AND(CALCULO!R39&lt;&gt;"", CALCULO!R39&lt;0), CALCULO!R39 * -1, 0)</f>
        <v>0</v>
      </c>
      <c r="U42" s="155">
        <f>IF(AND(CALCULO!S39&lt;&gt;"", CALCULO!S39&lt;0), CALCULO!S39 * -1, 0)</f>
        <v>0</v>
      </c>
      <c r="V42" s="155">
        <f>IF(AND(CALCULO!T39&lt;&gt;"", CALCULO!T39&lt;0), CALCULO!T39 * -1, 0)</f>
        <v>0</v>
      </c>
      <c r="W42" s="155">
        <f>IF(AND(CALCULO!U39&lt;&gt;"", CALCULO!U39&lt;0), CALCULO!U39 * -1, 0)</f>
        <v>0</v>
      </c>
      <c r="X42" s="155">
        <f>IF(AND(CALCULO!V39&lt;&gt;"", CALCULO!V39&lt;0), CALCULO!V39 * -1, 0)</f>
        <v>0</v>
      </c>
      <c r="Y42" s="155">
        <f>IF(AND(CALCULO!W39&lt;&gt;"", CALCULO!W39&lt;0), CALCULO!W39 * -1, 0)</f>
        <v>0</v>
      </c>
      <c r="Z42" s="155">
        <f>IF(AND(CALCULO!X39&lt;&gt;"", CALCULO!X39&lt;0), CALCULO!X39 * -1, 0)</f>
        <v>0</v>
      </c>
      <c r="AA42" s="155">
        <f>IF(AND(CALCULO!Y39&lt;&gt;"", CALCULO!Y39&lt;0), CALCULO!Y39 * -1, 0)</f>
        <v>0</v>
      </c>
      <c r="AB42" s="155">
        <f>IF(AND(CALCULO!Z39&lt;&gt;"", CALCULO!Z39&lt;0), CALCULO!Z39 * -1, 0)</f>
        <v>0</v>
      </c>
      <c r="AC42" s="155">
        <f>IF(AND(CALCULO!AA39&lt;&gt;"", CALCULO!AA39&lt;0), CALCULO!AA39 * -1, 0)</f>
        <v>0</v>
      </c>
      <c r="AD42" s="155">
        <f>IF(AND(CALCULO!AB39&lt;&gt;"", CALCULO!AB39&lt;0), CALCULO!AB39 * -1, 0)</f>
        <v>0</v>
      </c>
      <c r="AE42" s="155">
        <f>IF(AND(CALCULO!AC39&lt;&gt;"", CALCULO!AC39&lt;0), CALCULO!AC39 * -1, 0)</f>
        <v>0</v>
      </c>
      <c r="AF42" s="155">
        <f>IF(AND(CALCULO!AD39&lt;&gt;"", CALCULO!AD39&lt;0), CALCULO!AD39 * -1, 0)</f>
        <v>0</v>
      </c>
      <c r="AG42" s="155">
        <f>IF(AND(CALCULO!AE39&lt;&gt;"", CALCULO!AE39&lt;0), CALCULO!AE39 * -1, 0)</f>
        <v>0</v>
      </c>
      <c r="AH42" s="155">
        <f>IF(AND(CALCULO!AF39&lt;&gt;"", CALCULO!AF39&lt;0), CALCULO!AF39 * -1, 0)</f>
        <v>0</v>
      </c>
      <c r="AI42" s="155">
        <f>IF(AND(CALCULO!AG39&lt;&gt;"", CALCULO!AG39&lt;0), CALCULO!AG39 * -1, 0)</f>
        <v>0</v>
      </c>
      <c r="AJ42" s="155">
        <f>IF(AND(CALCULO!AH39&lt;&gt;"", CALCULO!AH39&lt;0), CALCULO!AH39 * -1, 0)</f>
        <v>0</v>
      </c>
      <c r="AK42" s="155">
        <f>IF(AND(CALCULO!AI39&lt;&gt;"", CALCULO!AI39&lt;0), CALCULO!AI39 * -1, 0)</f>
        <v>0</v>
      </c>
      <c r="AL42" s="155">
        <f>IF(AND(CALCULO!AJ39&lt;&gt;"", CALCULO!AJ39&lt;0), CALCULO!AJ39 * -1, 0)</f>
        <v>0</v>
      </c>
      <c r="AM42" s="155">
        <f>IF(AND(CALCULO!AK39&lt;&gt;"", CALCULO!AK39&lt;0), CALCULO!AK39 * -1, 0)</f>
        <v>0</v>
      </c>
      <c r="AN42" s="155">
        <f>IF(AND(CALCULO!AL39&lt;&gt;"", CALCULO!AL39&lt;0), CALCULO!AL39 * -1, 0)</f>
        <v>0</v>
      </c>
      <c r="AO42" s="164">
        <f>IF(AND(CALCULO!AM39&lt;&gt;"", CALCULO!AM39&lt;0), CALCULO!AM39 * -1, 0)</f>
        <v>0</v>
      </c>
      <c r="AP42" s="321">
        <v>0</v>
      </c>
      <c r="AQ42" s="321">
        <f>+ALTAS!D42</f>
        <v>0</v>
      </c>
      <c r="AR42" s="321">
        <f>+ALTAS!E42</f>
        <v>0</v>
      </c>
      <c r="AS42" s="151">
        <f>IF(AND(CALCULO!AN39&lt;&gt;"", CALCULO!AN39&lt;0), CALCULO!AN39 * -1, 0)</f>
        <v>0</v>
      </c>
      <c r="AT42" s="151">
        <f>IF(AND(CALCULO!AO39&lt;&gt;"", CALCULO!AO39&lt;0), CALCULO!AO39 * -1, 0)</f>
        <v>0</v>
      </c>
      <c r="AU42">
        <f>IF(AND(CALCULO!AP39&lt;&gt;"", CALCULO!AP39&lt;0), CALCULO!AP39 * -1, 0)</f>
        <v>3</v>
      </c>
      <c r="AV42">
        <f>IF(AND(CALCULO!AQ39&lt;&gt;"", CALCULO!AQ39&lt;0), CALCULO!AQ39 * -1, 0)</f>
        <v>0</v>
      </c>
      <c r="AW42">
        <f>IF(AND(CALCULO!AT39&lt;&gt;"", CALCULO!AT39&lt;0), CALCULO!AT39 * -1, 0)</f>
        <v>1</v>
      </c>
      <c r="AX42">
        <f>IF(AND(CALCULO!AU39&lt;&gt;"", CALCULO!AU39&lt;0), CALCULO!AU39 * -1, 0)</f>
        <v>3</v>
      </c>
      <c r="AY42">
        <f t="shared" si="2"/>
        <v>3</v>
      </c>
      <c r="AZ42" s="146">
        <f t="shared" si="3"/>
        <v>1</v>
      </c>
      <c r="BB42" s="181">
        <f>IF(AND(CALCULO!AR38&lt;&gt;"", CALCULO!AR38&lt;0), CALCULO!AR38 * -1, 0)</f>
        <v>0</v>
      </c>
      <c r="BC42" s="181">
        <f>IF(AND(CALCULO!AS38&lt;&gt;"", CALCULO!AS38&lt;0), CALCULO!AS38 * -1, 0)</f>
        <v>0</v>
      </c>
      <c r="BG42" s="146">
        <f>IF(AND(CALCULO!AW38&lt;&gt;"", CALCULO!AW38&lt;0), CALCULO!WP38 * -1, 0)</f>
        <v>0</v>
      </c>
      <c r="BH42">
        <f>IF(AND(CALCULO!AX38&lt;&gt;"", CALCULO!AX38&lt;0), CALCULO!AX38 * -1, 0)</f>
        <v>0</v>
      </c>
    </row>
    <row r="43" spans="1:60" ht="15.75" thickBot="1" x14ac:dyDescent="0.3">
      <c r="A43" s="376"/>
      <c r="B43" s="225"/>
      <c r="C43" s="451" t="s">
        <v>73</v>
      </c>
      <c r="D43" s="452"/>
      <c r="E43" s="205">
        <f t="shared" si="1"/>
        <v>0</v>
      </c>
      <c r="F43" s="155" t="str">
        <f>IF(AND(CALCULO!D40&lt;&gt;"", CALCULO!D40&lt;0), CALCULO!D40 * -1, "")</f>
        <v/>
      </c>
      <c r="G43" s="191" t="str">
        <f>IF(AND(CALCULO!E40&lt;&gt;"", CALCULO!E40&lt;0), CALCULO!E40 * -1, "")</f>
        <v/>
      </c>
      <c r="H43" s="265">
        <f>IF(AND(CALCULO!F40&lt;&gt;"", CALCULO!F40&lt;0), CALCULO!F40 * -1, 0)</f>
        <v>0</v>
      </c>
      <c r="I43" s="155">
        <f>IF(AND(CALCULO!G40&lt;&gt;"", CALCULO!G40&lt;0), CALCULO!G40 * -1, 0)</f>
        <v>0</v>
      </c>
      <c r="J43" s="155">
        <f>IF(AND(CALCULO!H40&lt;&gt;"", CALCULO!H40&lt;0), CALCULO!H40 * -1, 0)</f>
        <v>0</v>
      </c>
      <c r="K43" s="155">
        <f>IF(AND(CALCULO!I40&lt;&gt;"", CALCULO!I40&lt;0), CALCULO!I40 * -1, 0)</f>
        <v>0</v>
      </c>
      <c r="L43" s="155">
        <f>IF(AND(CALCULO!J40&lt;&gt;"", CALCULO!J40&lt;0), CALCULO!J40 * -1, 0)</f>
        <v>0</v>
      </c>
      <c r="M43" s="155">
        <f>IF(AND(CALCULO!K40&lt;&gt;"", CALCULO!K40&lt;0), CALCULO!K40 * -1, 0)</f>
        <v>0</v>
      </c>
      <c r="N43" s="155">
        <f>IF(AND(CALCULO!L40&lt;&gt;"", CALCULO!L40&lt;0), CALCULO!L40 * -1, 0)</f>
        <v>0</v>
      </c>
      <c r="O43" s="155">
        <f>IF(AND(CALCULO!M40&lt;&gt;"", CALCULO!M40&lt;0), CALCULO!M40 * -1, 0)</f>
        <v>0</v>
      </c>
      <c r="P43" s="155">
        <f>IF(AND(CALCULO!N40&lt;&gt;"", CALCULO!N40&lt;0), CALCULO!N40 * -1, 0)</f>
        <v>0</v>
      </c>
      <c r="Q43" s="155">
        <f>IF(AND(CALCULO!O40&lt;&gt;"", CALCULO!O40&lt;0), CALCULO!O40 * -1, 0)</f>
        <v>0</v>
      </c>
      <c r="R43" s="155">
        <f>IF(AND(CALCULO!P40&lt;&gt;"", CALCULO!P40&lt;0), CALCULO!P40 * -1, 0)</f>
        <v>0</v>
      </c>
      <c r="S43" s="155">
        <f>IF(AND(CALCULO!Q40&lt;&gt;"", CALCULO!Q40&lt;0), CALCULO!Q40 * -1, 0)</f>
        <v>0</v>
      </c>
      <c r="T43" s="155">
        <f>IF(AND(CALCULO!R40&lt;&gt;"", CALCULO!R40&lt;0), CALCULO!R40 * -1, 0)</f>
        <v>0</v>
      </c>
      <c r="U43" s="155">
        <f>IF(AND(CALCULO!S40&lt;&gt;"", CALCULO!S40&lt;0), CALCULO!S40 * -1, 0)</f>
        <v>0</v>
      </c>
      <c r="V43" s="155">
        <f>IF(AND(CALCULO!T40&lt;&gt;"", CALCULO!T40&lt;0), CALCULO!T40 * -1, 0)</f>
        <v>0</v>
      </c>
      <c r="W43" s="155">
        <f>IF(AND(CALCULO!U40&lt;&gt;"", CALCULO!U40&lt;0), CALCULO!U40 * -1, 0)</f>
        <v>0</v>
      </c>
      <c r="X43" s="155">
        <f>IF(AND(CALCULO!V40&lt;&gt;"", CALCULO!V40&lt;0), CALCULO!V40 * -1, 0)</f>
        <v>0</v>
      </c>
      <c r="Y43" s="155">
        <f>IF(AND(CALCULO!W40&lt;&gt;"", CALCULO!W40&lt;0), CALCULO!W40 * -1, 0)</f>
        <v>0</v>
      </c>
      <c r="Z43" s="155">
        <f>IF(AND(CALCULO!X40&lt;&gt;"", CALCULO!X40&lt;0), CALCULO!X40 * -1, 0)</f>
        <v>0</v>
      </c>
      <c r="AA43" s="155">
        <f>IF(AND(CALCULO!Y40&lt;&gt;"", CALCULO!Y40&lt;0), CALCULO!Y40 * -1, 0)</f>
        <v>0</v>
      </c>
      <c r="AB43" s="155">
        <f>IF(AND(CALCULO!Z40&lt;&gt;"", CALCULO!Z40&lt;0), CALCULO!Z40 * -1, 0)</f>
        <v>0</v>
      </c>
      <c r="AC43" s="155">
        <f>IF(AND(CALCULO!AA40&lt;&gt;"", CALCULO!AA40&lt;0), CALCULO!AA40 * -1, 0)</f>
        <v>0</v>
      </c>
      <c r="AD43" s="155">
        <f>IF(AND(CALCULO!AB40&lt;&gt;"", CALCULO!AB40&lt;0), CALCULO!AB40 * -1, 0)</f>
        <v>0</v>
      </c>
      <c r="AE43" s="155">
        <f>IF(AND(CALCULO!AC40&lt;&gt;"", CALCULO!AC40&lt;0), CALCULO!AC40 * -1, 0)</f>
        <v>0</v>
      </c>
      <c r="AF43" s="155">
        <f>IF(AND(CALCULO!AD40&lt;&gt;"", CALCULO!AD40&lt;0), CALCULO!AD40 * -1, 0)</f>
        <v>0</v>
      </c>
      <c r="AG43" s="155">
        <f>IF(AND(CALCULO!AE40&lt;&gt;"", CALCULO!AE40&lt;0), CALCULO!AE40 * -1, 0)</f>
        <v>0</v>
      </c>
      <c r="AH43" s="155">
        <f>IF(AND(CALCULO!AF40&lt;&gt;"", CALCULO!AF40&lt;0), CALCULO!AF40 * -1, 0)</f>
        <v>0</v>
      </c>
      <c r="AI43" s="155">
        <f>IF(AND(CALCULO!AG40&lt;&gt;"", CALCULO!AG40&lt;0), CALCULO!AG40 * -1, 0)</f>
        <v>0</v>
      </c>
      <c r="AJ43" s="155">
        <f>IF(AND(CALCULO!AH40&lt;&gt;"", CALCULO!AH40&lt;0), CALCULO!AH40 * -1, 0)</f>
        <v>0</v>
      </c>
      <c r="AK43" s="155">
        <f>IF(AND(CALCULO!AI40&lt;&gt;"", CALCULO!AI40&lt;0), CALCULO!AI40 * -1, 0)</f>
        <v>0</v>
      </c>
      <c r="AL43" s="155">
        <f>IF(AND(CALCULO!AJ40&lt;&gt;"", CALCULO!AJ40&lt;0), CALCULO!AJ40 * -1, 0)</f>
        <v>0</v>
      </c>
      <c r="AM43" s="155">
        <f>IF(AND(CALCULO!AK40&lt;&gt;"", CALCULO!AK40&lt;0), CALCULO!AK40 * -1, 0)</f>
        <v>0</v>
      </c>
      <c r="AN43" s="155">
        <f>IF(AND(CALCULO!AL40&lt;&gt;"", CALCULO!AL40&lt;0), CALCULO!AL40 * -1, 0)</f>
        <v>0</v>
      </c>
      <c r="AO43" s="164">
        <f>IF(AND(CALCULO!AM40&lt;&gt;"", CALCULO!AM40&lt;0), CALCULO!AM40 * -1, 0)</f>
        <v>0</v>
      </c>
      <c r="AP43" s="321">
        <f>IF(E43-(ALTAS!C43+AQ43+AR43)&gt;=0,+E43-(ALTAS!C43+AQ43+AR43),"NEGATIVO")</f>
        <v>0</v>
      </c>
      <c r="AQ43" s="321">
        <f>+ALTAS!D43</f>
        <v>0</v>
      </c>
      <c r="AR43" s="321">
        <f>+ALTAS!E43</f>
        <v>0</v>
      </c>
      <c r="AS43" s="151">
        <f>IF(AND(CALCULO!AN40&lt;&gt;"", CALCULO!AN40&lt;0), CALCULO!AN40 * -1, 0)</f>
        <v>0</v>
      </c>
      <c r="AT43" s="151">
        <f>IF(AND(CALCULO!AO40&lt;&gt;"", CALCULO!AO40&lt;0), CALCULO!AO40 * -1, 0)</f>
        <v>0</v>
      </c>
      <c r="AU43">
        <f>IF(AND(CALCULO!AP40&lt;&gt;"", CALCULO!AP40&lt;0), CALCULO!AP40 * -1, 0)</f>
        <v>0</v>
      </c>
      <c r="AV43">
        <f>IF(AND(CALCULO!AQ40&lt;&gt;"", CALCULO!AQ40&lt;0), CALCULO!AQ40 * -1, 0)</f>
        <v>0</v>
      </c>
      <c r="AW43">
        <f>IF(AND(CALCULO!AT40&lt;&gt;"", CALCULO!AT40&lt;0), CALCULO!AT40 * -1, 0)</f>
        <v>0</v>
      </c>
      <c r="AX43">
        <f>IF(AND(CALCULO!AU40&lt;&gt;"", CALCULO!AU40&lt;0), CALCULO!AU40 * -1, 0)</f>
        <v>0</v>
      </c>
      <c r="AY43">
        <f t="shared" si="2"/>
        <v>0</v>
      </c>
      <c r="AZ43" s="146">
        <f t="shared" si="3"/>
        <v>0</v>
      </c>
      <c r="BB43" s="181">
        <f>IF(AND(CALCULO!AR39&lt;&gt;"", CALCULO!AR39&lt;0), CALCULO!AR39 * -1, 0)</f>
        <v>3</v>
      </c>
      <c r="BC43" s="181">
        <f>IF(AND(CALCULO!AS39&lt;&gt;"", CALCULO!AS39&lt;0), CALCULO!AS39 * -1, 0)</f>
        <v>0</v>
      </c>
      <c r="BG43" s="146">
        <f>IF(AND(CALCULO!AW39&lt;&gt;"", CALCULO!AW39&lt;0), CALCULO!WP39 * -1, 0)</f>
        <v>0</v>
      </c>
      <c r="BH43">
        <f>IF(AND(CALCULO!AX39&lt;&gt;"", CALCULO!AX39&lt;0), CALCULO!AX39 * -1, 0)</f>
        <v>1</v>
      </c>
    </row>
    <row r="44" spans="1:60" x14ac:dyDescent="0.25">
      <c r="A44" s="381"/>
      <c r="B44" s="382"/>
      <c r="C44" s="453" t="s">
        <v>74</v>
      </c>
      <c r="D44" s="454"/>
      <c r="E44" s="205">
        <f t="shared" si="1"/>
        <v>0</v>
      </c>
      <c r="F44" s="155" t="str">
        <f>IF(AND(CALCULO!D41&lt;&gt;"", CALCULO!D41&lt;0), CALCULO!D41 * -1, "")</f>
        <v/>
      </c>
      <c r="G44" s="191" t="str">
        <f>IF(AND(CALCULO!E41&lt;&gt;"", CALCULO!E41&lt;0), CALCULO!E41 * -1, "")</f>
        <v/>
      </c>
      <c r="H44" s="265">
        <f>IF(AND(CALCULO!F41&lt;&gt;"", CALCULO!F41&lt;0), CALCULO!F41 * -1, 0)</f>
        <v>0</v>
      </c>
      <c r="I44" s="155">
        <f>IF(AND(CALCULO!G41&lt;&gt;"", CALCULO!G41&lt;0), CALCULO!G41 * -1, 0)</f>
        <v>0</v>
      </c>
      <c r="J44" s="155">
        <f>IF(AND(CALCULO!H41&lt;&gt;"", CALCULO!H41&lt;0), CALCULO!H41 * -1, 0)</f>
        <v>0</v>
      </c>
      <c r="K44" s="155">
        <f>IF(AND(CALCULO!I41&lt;&gt;"", CALCULO!I41&lt;0), CALCULO!I41 * -1, 0)</f>
        <v>0</v>
      </c>
      <c r="L44" s="155">
        <f>IF(AND(CALCULO!J41&lt;&gt;"", CALCULO!J41&lt;0), CALCULO!J41 * -1, 0)</f>
        <v>0</v>
      </c>
      <c r="M44" s="155">
        <f>IF(AND(CALCULO!K41&lt;&gt;"", CALCULO!K41&lt;0), CALCULO!K41 * -1, 0)</f>
        <v>0</v>
      </c>
      <c r="N44" s="155">
        <f>IF(AND(CALCULO!L41&lt;&gt;"", CALCULO!L41&lt;0), CALCULO!L41 * -1, 0)</f>
        <v>0</v>
      </c>
      <c r="O44" s="155">
        <f>IF(AND(CALCULO!M41&lt;&gt;"", CALCULO!M41&lt;0), CALCULO!M41 * -1, 0)</f>
        <v>0</v>
      </c>
      <c r="P44" s="155">
        <f>IF(AND(CALCULO!N41&lt;&gt;"", CALCULO!N41&lt;0), CALCULO!N41 * -1, 0)</f>
        <v>0</v>
      </c>
      <c r="Q44" s="155">
        <f>IF(AND(CALCULO!O41&lt;&gt;"", CALCULO!O41&lt;0), CALCULO!O41 * -1, 0)</f>
        <v>0</v>
      </c>
      <c r="R44" s="155">
        <f>IF(AND(CALCULO!P41&lt;&gt;"", CALCULO!P41&lt;0), CALCULO!P41 * -1, 0)</f>
        <v>0</v>
      </c>
      <c r="S44" s="155">
        <f>IF(AND(CALCULO!Q41&lt;&gt;"", CALCULO!Q41&lt;0), CALCULO!Q41 * -1, 0)</f>
        <v>0</v>
      </c>
      <c r="T44" s="155">
        <f>IF(AND(CALCULO!R41&lt;&gt;"", CALCULO!R41&lt;0), CALCULO!R41 * -1, 0)</f>
        <v>0</v>
      </c>
      <c r="U44" s="155">
        <f>IF(AND(CALCULO!S41&lt;&gt;"", CALCULO!S41&lt;0), CALCULO!S41 * -1, 0)</f>
        <v>0</v>
      </c>
      <c r="V44" s="155">
        <f>IF(AND(CALCULO!T41&lt;&gt;"", CALCULO!T41&lt;0), CALCULO!T41 * -1, 0)</f>
        <v>0</v>
      </c>
      <c r="W44" s="155">
        <f>IF(AND(CALCULO!U41&lt;&gt;"", CALCULO!U41&lt;0), CALCULO!U41 * -1, 0)</f>
        <v>0</v>
      </c>
      <c r="X44" s="155">
        <f>IF(AND(CALCULO!V41&lt;&gt;"", CALCULO!V41&lt;0), CALCULO!V41 * -1, 0)</f>
        <v>0</v>
      </c>
      <c r="Y44" s="155">
        <f>IF(AND(CALCULO!W41&lt;&gt;"", CALCULO!W41&lt;0), CALCULO!W41 * -1, 0)</f>
        <v>0</v>
      </c>
      <c r="Z44" s="155">
        <f>IF(AND(CALCULO!X41&lt;&gt;"", CALCULO!X41&lt;0), CALCULO!X41 * -1, 0)</f>
        <v>0</v>
      </c>
      <c r="AA44" s="155">
        <f>IF(AND(CALCULO!Y41&lt;&gt;"", CALCULO!Y41&lt;0), CALCULO!Y41 * -1, 0)</f>
        <v>0</v>
      </c>
      <c r="AB44" s="155">
        <f>IF(AND(CALCULO!Z41&lt;&gt;"", CALCULO!Z41&lt;0), CALCULO!Z41 * -1, 0)</f>
        <v>0</v>
      </c>
      <c r="AC44" s="155">
        <f>IF(AND(CALCULO!AA41&lt;&gt;"", CALCULO!AA41&lt;0), CALCULO!AA41 * -1, 0)</f>
        <v>0</v>
      </c>
      <c r="AD44" s="155">
        <f>IF(AND(CALCULO!AB41&lt;&gt;"", CALCULO!AB41&lt;0), CALCULO!AB41 * -1, 0)</f>
        <v>0</v>
      </c>
      <c r="AE44" s="155">
        <f>IF(AND(CALCULO!AC41&lt;&gt;"", CALCULO!AC41&lt;0), CALCULO!AC41 * -1, 0)</f>
        <v>0</v>
      </c>
      <c r="AF44" s="155">
        <f>IF(AND(CALCULO!AD41&lt;&gt;"", CALCULO!AD41&lt;0), CALCULO!AD41 * -1, 0)</f>
        <v>0</v>
      </c>
      <c r="AG44" s="155">
        <f>IF(AND(CALCULO!AE41&lt;&gt;"", CALCULO!AE41&lt;0), CALCULO!AE41 * -1, 0)</f>
        <v>0</v>
      </c>
      <c r="AH44" s="155">
        <f>IF(AND(CALCULO!AF41&lt;&gt;"", CALCULO!AF41&lt;0), CALCULO!AF41 * -1, 0)</f>
        <v>0</v>
      </c>
      <c r="AI44" s="155">
        <f>IF(AND(CALCULO!AG41&lt;&gt;"", CALCULO!AG41&lt;0), CALCULO!AG41 * -1, 0)</f>
        <v>0</v>
      </c>
      <c r="AJ44" s="155">
        <f>IF(AND(CALCULO!AH41&lt;&gt;"", CALCULO!AH41&lt;0), CALCULO!AH41 * -1, 0)</f>
        <v>0</v>
      </c>
      <c r="AK44" s="155">
        <f>IF(AND(CALCULO!AI41&lt;&gt;"", CALCULO!AI41&lt;0), CALCULO!AI41 * -1, 0)</f>
        <v>0</v>
      </c>
      <c r="AL44" s="155">
        <f>IF(AND(CALCULO!AJ41&lt;&gt;"", CALCULO!AJ41&lt;0), CALCULO!AJ41 * -1, 0)</f>
        <v>0</v>
      </c>
      <c r="AM44" s="155">
        <f>IF(AND(CALCULO!AK41&lt;&gt;"", CALCULO!AK41&lt;0), CALCULO!AK41 * -1, 0)</f>
        <v>0</v>
      </c>
      <c r="AN44" s="155">
        <f>IF(AND(CALCULO!AL41&lt;&gt;"", CALCULO!AL41&lt;0), CALCULO!AL41 * -1, 0)</f>
        <v>0</v>
      </c>
      <c r="AO44" s="164">
        <f>IF(AND(CALCULO!AM41&lt;&gt;"", CALCULO!AM41&lt;0), CALCULO!AM41 * -1, 0)</f>
        <v>0</v>
      </c>
      <c r="AP44" s="321">
        <f>IF(E44-(ALTAS!C44+AQ44+AR44)&gt;=0,+E44-(ALTAS!C44+AQ44+AR44),"NEGATIVO")</f>
        <v>0</v>
      </c>
      <c r="AQ44" s="321">
        <f>+ALTAS!D44</f>
        <v>0</v>
      </c>
      <c r="AR44" s="321">
        <f>+ALTAS!E44</f>
        <v>0</v>
      </c>
      <c r="AS44">
        <f>IF(AND(CALCULO!AN41&lt;&gt;"", CALCULO!AN41&lt;0), CALCULO!AN41 * -1, 0)</f>
        <v>0</v>
      </c>
      <c r="AT44">
        <f>IF(AND(CALCULO!AO41&lt;&gt;"", CALCULO!AO41&lt;0), CALCULO!AO41 * -1, 0)</f>
        <v>0</v>
      </c>
      <c r="AU44">
        <f>IF(AND(CALCULO!AP41&lt;&gt;"", CALCULO!AP41&lt;0), CALCULO!AP41 * -1, 0)</f>
        <v>0</v>
      </c>
      <c r="AV44">
        <f>IF(AND(CALCULO!AQ41&lt;&gt;"", CALCULO!AQ41&lt;0), CALCULO!AQ41 * -1, 0)</f>
        <v>0</v>
      </c>
      <c r="AW44">
        <f>IF(AND(CALCULO!AT41&lt;&gt;"", CALCULO!AT41&lt;0), CALCULO!AT41 * -1, 0)</f>
        <v>0</v>
      </c>
      <c r="AX44">
        <f>IF(AND(CALCULO!AU41&lt;&gt;"", CALCULO!AU41&lt;0), CALCULO!AU41 * -1, 0)</f>
        <v>0</v>
      </c>
      <c r="AY44">
        <f t="shared" si="2"/>
        <v>0</v>
      </c>
      <c r="AZ44" s="146">
        <f t="shared" si="3"/>
        <v>0</v>
      </c>
      <c r="BB44" s="181">
        <f>IF(AND(CALCULO!AR40&lt;&gt;"", CALCULO!AR40&lt;0), CALCULO!AR40 * -1, 0)</f>
        <v>0</v>
      </c>
      <c r="BC44" s="181">
        <f>IF(AND(CALCULO!AS40&lt;&gt;"", CALCULO!AS40&lt;0), CALCULO!AS40 * -1, 0)</f>
        <v>0</v>
      </c>
      <c r="BG44" s="146">
        <f>IF(AND(CALCULO!AW40&lt;&gt;"", CALCULO!AW40&lt;0), CALCULO!WP40 * -1, 0)</f>
        <v>0</v>
      </c>
      <c r="BH44">
        <f>IF(AND(CALCULO!AX40&lt;&gt;"", CALCULO!AX40&lt;0), CALCULO!AX40 * -1, 0)</f>
        <v>0</v>
      </c>
    </row>
    <row r="45" spans="1:60" ht="15.75" thickBot="1" x14ac:dyDescent="0.3">
      <c r="A45" s="383"/>
      <c r="B45" s="384"/>
      <c r="C45" s="451" t="s">
        <v>75</v>
      </c>
      <c r="D45" s="452"/>
      <c r="E45" s="251">
        <f t="shared" si="1"/>
        <v>7</v>
      </c>
      <c r="F45" s="184" t="str">
        <f>IF(AND(CALCULO!D42&lt;&gt;"", CALCULO!D42&lt;0), CALCULO!D42 * -1, "")</f>
        <v/>
      </c>
      <c r="G45" s="252" t="str">
        <f>IF(AND(CALCULO!E42&lt;&gt;"", CALCULO!E42&lt;0), CALCULO!E42 * -1, "")</f>
        <v/>
      </c>
      <c r="H45" s="266">
        <f>IF(AND(CALCULO!F42&lt;&gt;"", CALCULO!F42&lt;0), CALCULO!F42 * -1, 0)</f>
        <v>0</v>
      </c>
      <c r="I45" s="184">
        <f>IF(AND(CALCULO!G42&lt;&gt;"", CALCULO!G42&lt;0), CALCULO!G42 * -1, 0)</f>
        <v>0</v>
      </c>
      <c r="J45" s="184">
        <f>IF(AND(CALCULO!H42&lt;&gt;"", CALCULO!H42&lt;0), CALCULO!H42 * -1, 0)</f>
        <v>0</v>
      </c>
      <c r="K45" s="184">
        <f>IF(AND(CALCULO!I42&lt;&gt;"", CALCULO!I42&lt;0), CALCULO!I42 * -1, 0)</f>
        <v>0</v>
      </c>
      <c r="L45" s="184">
        <f>IF(AND(CALCULO!J42&lt;&gt;"", CALCULO!J42&lt;0), CALCULO!J42 * -1, 0)</f>
        <v>0</v>
      </c>
      <c r="M45" s="184">
        <f>IF(AND(CALCULO!K42&lt;&gt;"", CALCULO!K42&lt;0), CALCULO!K42 * -1, 0)</f>
        <v>1</v>
      </c>
      <c r="N45" s="184">
        <f>IF(AND(CALCULO!L42&lt;&gt;"", CALCULO!L42&lt;0), CALCULO!L42 * -1, 0)</f>
        <v>0</v>
      </c>
      <c r="O45" s="184">
        <f>IF(AND(CALCULO!M42&lt;&gt;"", CALCULO!M42&lt;0), CALCULO!M42 * -1, 0)</f>
        <v>0</v>
      </c>
      <c r="P45" s="184">
        <f>IF(AND(CALCULO!N42&lt;&gt;"", CALCULO!N42&lt;0), CALCULO!N42 * -1, 0)</f>
        <v>0</v>
      </c>
      <c r="Q45" s="184">
        <f>IF(AND(CALCULO!O42&lt;&gt;"", CALCULO!O42&lt;0), CALCULO!O42 * -1, 0)</f>
        <v>0</v>
      </c>
      <c r="R45" s="184">
        <f>IF(AND(CALCULO!P42&lt;&gt;"", CALCULO!P42&lt;0), CALCULO!P42 * -1, 0)</f>
        <v>0</v>
      </c>
      <c r="S45" s="184">
        <f>IF(AND(CALCULO!Q42&lt;&gt;"", CALCULO!Q42&lt;0), CALCULO!Q42 * -1, 0)</f>
        <v>0</v>
      </c>
      <c r="T45" s="184">
        <f>IF(AND(CALCULO!R42&lt;&gt;"", CALCULO!R42&lt;0), CALCULO!R42 * -1, 0)</f>
        <v>0</v>
      </c>
      <c r="U45" s="184">
        <f>IF(AND(CALCULO!S42&lt;&gt;"", CALCULO!S42&lt;0), CALCULO!S42 * -1, 0)</f>
        <v>0</v>
      </c>
      <c r="V45" s="184">
        <f>IF(AND(CALCULO!T42&lt;&gt;"", CALCULO!T42&lt;0), CALCULO!T42 * -1, 0)</f>
        <v>0</v>
      </c>
      <c r="W45" s="184">
        <f>IF(AND(CALCULO!U42&lt;&gt;"", CALCULO!U42&lt;0), CALCULO!U42 * -1, 0)</f>
        <v>0</v>
      </c>
      <c r="X45" s="184">
        <f>IF(AND(CALCULO!V42&lt;&gt;"", CALCULO!V42&lt;0), CALCULO!V42 * -1, 0)</f>
        <v>0</v>
      </c>
      <c r="Y45" s="184">
        <f>IF(AND(CALCULO!W42&lt;&gt;"", CALCULO!W42&lt;0), CALCULO!W42 * -1, 0)</f>
        <v>0</v>
      </c>
      <c r="Z45" s="184">
        <f>IF(AND(CALCULO!X42&lt;&gt;"", CALCULO!X42&lt;0), CALCULO!X42 * -1, 0)</f>
        <v>0</v>
      </c>
      <c r="AA45" s="184">
        <f>IF(AND(CALCULO!Y42&lt;&gt;"", CALCULO!Y42&lt;0), CALCULO!Y42 * -1, 0)</f>
        <v>0</v>
      </c>
      <c r="AB45" s="184">
        <f>IF(AND(CALCULO!Z42&lt;&gt;"", CALCULO!Z42&lt;0), CALCULO!Z42 * -1, 0)</f>
        <v>1</v>
      </c>
      <c r="AC45" s="184">
        <f>IF(AND(CALCULO!AA42&lt;&gt;"", CALCULO!AA42&lt;0), CALCULO!AA42 * -1, 0)</f>
        <v>0</v>
      </c>
      <c r="AD45" s="184">
        <f>IF(AND(CALCULO!AB42&lt;&gt;"", CALCULO!AB42&lt;0), CALCULO!AB42 * -1, 0)</f>
        <v>0</v>
      </c>
      <c r="AE45" s="184">
        <f>IF(AND(CALCULO!AC42&lt;&gt;"", CALCULO!AC42&lt;0), CALCULO!AC42 * -1, 0)</f>
        <v>1</v>
      </c>
      <c r="AF45" s="184">
        <f>IF(AND(CALCULO!AD42&lt;&gt;"", CALCULO!AD42&lt;0), CALCULO!AD42 * -1, 0)</f>
        <v>0</v>
      </c>
      <c r="AG45" s="184">
        <f>IF(AND(CALCULO!AE42&lt;&gt;"", CALCULO!AE42&lt;0), CALCULO!AE42 * -1, 0)</f>
        <v>0</v>
      </c>
      <c r="AH45" s="184">
        <f>IF(AND(CALCULO!AF42&lt;&gt;"", CALCULO!AF42&lt;0), CALCULO!AF42 * -1, 0)</f>
        <v>0</v>
      </c>
      <c r="AI45" s="184">
        <f>IF(AND(CALCULO!AG42&lt;&gt;"", CALCULO!AG42&lt;0), CALCULO!AG42 * -1, 0)</f>
        <v>2</v>
      </c>
      <c r="AJ45" s="184">
        <f>IF(AND(CALCULO!AH42&lt;&gt;"", CALCULO!AH42&lt;0), CALCULO!AH42 * -1, 0)</f>
        <v>0</v>
      </c>
      <c r="AK45" s="184">
        <f>IF(AND(CALCULO!AI42&lt;&gt;"", CALCULO!AI42&lt;0), CALCULO!AI42 * -1, 0)</f>
        <v>2</v>
      </c>
      <c r="AL45" s="184">
        <f>IF(AND(CALCULO!AJ42&lt;&gt;"", CALCULO!AJ42&lt;0), CALCULO!AJ42 * -1, 0)</f>
        <v>0</v>
      </c>
      <c r="AM45" s="184">
        <f>IF(AND(CALCULO!AK42&lt;&gt;"", CALCULO!AK42&lt;0), CALCULO!AK42 * -1, 0)</f>
        <v>0</v>
      </c>
      <c r="AN45" s="184">
        <f>IF(AND(CALCULO!AL42&lt;&gt;"", CALCULO!AL42&lt;0), CALCULO!AL42 * -1, 0)</f>
        <v>0</v>
      </c>
      <c r="AO45" s="290">
        <f>IF(AND(CALCULO!AM42&lt;&gt;"", CALCULO!AM42&lt;0), CALCULO!AM42 * -1, 0)</f>
        <v>0</v>
      </c>
      <c r="AP45" s="321">
        <f>IF(E45-(ALTAS!C45+AQ45+AR45)&gt;=0,+E45-(ALTAS!C45+AQ45+AR45),"NEGATIVO")</f>
        <v>4</v>
      </c>
      <c r="AQ45" s="321">
        <f>+ALTAS!D45</f>
        <v>0</v>
      </c>
      <c r="AR45" s="321">
        <f>+ALTAS!E45</f>
        <v>1</v>
      </c>
      <c r="AS45" s="212">
        <f>IF(AND(CALCULO!AN42&lt;&gt;"", CALCULO!AN42&lt;0), CALCULO!AN42 * -1, 0)</f>
        <v>0</v>
      </c>
      <c r="AT45" s="212">
        <f>IF(AND(CALCULO!AO42&lt;&gt;"", CALCULO!AO42&lt;0), CALCULO!AO42 * -1, 0)</f>
        <v>0</v>
      </c>
      <c r="AU45" s="212">
        <f>IF(AND(CALCULO!AP42&lt;&gt;"", CALCULO!AP42&lt;0), CALCULO!AP42 * -1, 0)</f>
        <v>0</v>
      </c>
      <c r="AV45" s="212">
        <f>IF(AND(CALCULO!AQ42&lt;&gt;"", CALCULO!AQ42&lt;0), CALCULO!AQ42 * -1, 0)</f>
        <v>0</v>
      </c>
      <c r="AW45" s="212">
        <f>IF(AND(CALCULO!AT42&lt;&gt;"", CALCULO!AT42&lt;0), CALCULO!AT42 * -1, 0)</f>
        <v>0</v>
      </c>
      <c r="AX45" s="212">
        <f>IF(AND(CALCULO!AU42&lt;&gt;"", CALCULO!AU42&lt;0), CALCULO!AU42 * -1, 0)</f>
        <v>0</v>
      </c>
      <c r="AY45" s="212">
        <f t="shared" si="2"/>
        <v>0</v>
      </c>
      <c r="AZ45" s="146">
        <f t="shared" si="3"/>
        <v>0</v>
      </c>
      <c r="BB45" s="181">
        <f>IF(AND(CALCULO!AR41&lt;&gt;"", CALCULO!AR41&lt;0), CALCULO!AR41 * -1, 0)</f>
        <v>0</v>
      </c>
      <c r="BC45" s="181">
        <f>IF(AND(CALCULO!AS41&lt;&gt;"", CALCULO!AS41&lt;0), CALCULO!AS41 * -1, 0)</f>
        <v>0</v>
      </c>
      <c r="BG45" s="146">
        <f>IF(AND(CALCULO!AW41&lt;&gt;"", CALCULO!AW41&lt;0), CALCULO!WP41 * -1, 0)</f>
        <v>0</v>
      </c>
      <c r="BH45">
        <f>IF(AND(CALCULO!AX41&lt;&gt;"", CALCULO!AX41&lt;0), CALCULO!AX41 * -1, 0)</f>
        <v>0</v>
      </c>
    </row>
    <row r="46" spans="1:60" x14ac:dyDescent="0.25">
      <c r="A46" s="385"/>
      <c r="B46" s="386"/>
      <c r="C46" s="455" t="s">
        <v>76</v>
      </c>
      <c r="D46" s="236" t="s">
        <v>77</v>
      </c>
      <c r="E46" s="204">
        <f t="shared" si="1"/>
        <v>0</v>
      </c>
      <c r="F46" s="189" t="str">
        <f>IF(AND(CALCULO!D43&lt;&gt;"", CALCULO!D43&lt;0), CALCULO!D43 * -1, "")</f>
        <v/>
      </c>
      <c r="G46" s="190" t="str">
        <f>IF(AND(CALCULO!E43&lt;&gt;"", CALCULO!E43&lt;0), CALCULO!E43 * -1, "")</f>
        <v/>
      </c>
      <c r="H46" s="264">
        <f>IF(AND(CALCULO!F43&lt;&gt;"", CALCULO!F43&lt;0), CALCULO!F43 * -1, 0)</f>
        <v>0</v>
      </c>
      <c r="I46" s="189">
        <f>IF(AND(CALCULO!G43&lt;&gt;"", CALCULO!G43&lt;0), CALCULO!G43 * -1, 0)</f>
        <v>0</v>
      </c>
      <c r="J46" s="189">
        <f>IF(AND(CALCULO!H43&lt;&gt;"", CALCULO!H43&lt;0), CALCULO!H43 * -1, 0)</f>
        <v>0</v>
      </c>
      <c r="K46" s="189">
        <f>IF(AND(CALCULO!I43&lt;&gt;"", CALCULO!I43&lt;0), CALCULO!I43 * -1, 0)</f>
        <v>0</v>
      </c>
      <c r="L46" s="189">
        <f>IF(AND(CALCULO!J43&lt;&gt;"", CALCULO!J43&lt;0), CALCULO!J43 * -1, 0)</f>
        <v>0</v>
      </c>
      <c r="M46" s="189">
        <f>IF(AND(CALCULO!K43&lt;&gt;"", CALCULO!K43&lt;0), CALCULO!K43 * -1, 0)</f>
        <v>0</v>
      </c>
      <c r="N46" s="189">
        <f>IF(AND(CALCULO!L43&lt;&gt;"", CALCULO!L43&lt;0), CALCULO!L43 * -1, 0)</f>
        <v>0</v>
      </c>
      <c r="O46" s="189">
        <f>IF(AND(CALCULO!M43&lt;&gt;"", CALCULO!M43&lt;0), CALCULO!M43 * -1, 0)</f>
        <v>0</v>
      </c>
      <c r="P46" s="189">
        <f>IF(AND(CALCULO!N43&lt;&gt;"", CALCULO!N43&lt;0), CALCULO!N43 * -1, 0)</f>
        <v>0</v>
      </c>
      <c r="Q46" s="189">
        <f>IF(AND(CALCULO!O43&lt;&gt;"", CALCULO!O43&lt;0), CALCULO!O43 * -1, 0)</f>
        <v>0</v>
      </c>
      <c r="R46" s="189">
        <f>IF(AND(CALCULO!P43&lt;&gt;"", CALCULO!P43&lt;0), CALCULO!P43 * -1, 0)</f>
        <v>0</v>
      </c>
      <c r="S46" s="189">
        <f>IF(AND(CALCULO!Q43&lt;&gt;"", CALCULO!Q43&lt;0), CALCULO!Q43 * -1, 0)</f>
        <v>0</v>
      </c>
      <c r="T46" s="189">
        <f>IF(AND(CALCULO!R43&lt;&gt;"", CALCULO!R43&lt;0), CALCULO!R43 * -1, 0)</f>
        <v>0</v>
      </c>
      <c r="U46" s="189">
        <f>IF(AND(CALCULO!S43&lt;&gt;"", CALCULO!S43&lt;0), CALCULO!S43 * -1, 0)</f>
        <v>0</v>
      </c>
      <c r="V46" s="189">
        <f>IF(AND(CALCULO!T43&lt;&gt;"", CALCULO!T43&lt;0), CALCULO!T43 * -1, 0)</f>
        <v>0</v>
      </c>
      <c r="W46" s="189">
        <f>IF(AND(CALCULO!U43&lt;&gt;"", CALCULO!U43&lt;0), CALCULO!U43 * -1, 0)</f>
        <v>0</v>
      </c>
      <c r="X46" s="189">
        <f>IF(AND(CALCULO!V43&lt;&gt;"", CALCULO!V43&lt;0), CALCULO!V43 * -1, 0)</f>
        <v>0</v>
      </c>
      <c r="Y46" s="189">
        <f>IF(AND(CALCULO!W43&lt;&gt;"", CALCULO!W43&lt;0), CALCULO!W43 * -1, 0)</f>
        <v>0</v>
      </c>
      <c r="Z46" s="189">
        <f>IF(AND(CALCULO!X43&lt;&gt;"", CALCULO!X43&lt;0), CALCULO!X43 * -1, 0)</f>
        <v>0</v>
      </c>
      <c r="AA46" s="189">
        <f>IF(AND(CALCULO!Y43&lt;&gt;"", CALCULO!Y43&lt;0), CALCULO!Y43 * -1, 0)</f>
        <v>0</v>
      </c>
      <c r="AB46" s="189">
        <f>IF(AND(CALCULO!Z43&lt;&gt;"", CALCULO!Z43&lt;0), CALCULO!Z43 * -1, 0)</f>
        <v>0</v>
      </c>
      <c r="AC46" s="189">
        <f>IF(AND(CALCULO!AA43&lt;&gt;"", CALCULO!AA43&lt;0), CALCULO!AA43 * -1, 0)</f>
        <v>0</v>
      </c>
      <c r="AD46" s="189">
        <f>IF(AND(CALCULO!AB43&lt;&gt;"", CALCULO!AB43&lt;0), CALCULO!AB43 * -1, 0)</f>
        <v>0</v>
      </c>
      <c r="AE46" s="189">
        <f>IF(AND(CALCULO!AC43&lt;&gt;"", CALCULO!AC43&lt;0), CALCULO!AC43 * -1, 0)</f>
        <v>0</v>
      </c>
      <c r="AF46" s="189">
        <f>IF(AND(CALCULO!AD43&lt;&gt;"", CALCULO!AD43&lt;0), CALCULO!AD43 * -1, 0)</f>
        <v>0</v>
      </c>
      <c r="AG46" s="189">
        <f>IF(AND(CALCULO!AE43&lt;&gt;"", CALCULO!AE43&lt;0), CALCULO!AE43 * -1, 0)</f>
        <v>0</v>
      </c>
      <c r="AH46" s="189">
        <f>IF(AND(CALCULO!AF43&lt;&gt;"", CALCULO!AF43&lt;0), CALCULO!AF43 * -1, 0)</f>
        <v>0</v>
      </c>
      <c r="AI46" s="189">
        <f>IF(AND(CALCULO!AG43&lt;&gt;"", CALCULO!AG43&lt;0), CALCULO!AG43 * -1, 0)</f>
        <v>0</v>
      </c>
      <c r="AJ46" s="189">
        <f>IF(AND(CALCULO!AH43&lt;&gt;"", CALCULO!AH43&lt;0), CALCULO!AH43 * -1, 0)</f>
        <v>0</v>
      </c>
      <c r="AK46" s="189">
        <f>IF(AND(CALCULO!AI43&lt;&gt;"", CALCULO!AI43&lt;0), CALCULO!AI43 * -1, 0)</f>
        <v>0</v>
      </c>
      <c r="AL46" s="189">
        <f>IF(AND(CALCULO!AJ43&lt;&gt;"", CALCULO!AJ43&lt;0), CALCULO!AJ43 * -1, 0)</f>
        <v>0</v>
      </c>
      <c r="AM46" s="189">
        <f>IF(AND(CALCULO!AK43&lt;&gt;"", CALCULO!AK43&lt;0), CALCULO!AK43 * -1, 0)</f>
        <v>0</v>
      </c>
      <c r="AN46" s="189">
        <f>IF(AND(CALCULO!AL43&lt;&gt;"", CALCULO!AL43&lt;0), CALCULO!AL43 * -1, 0)</f>
        <v>0</v>
      </c>
      <c r="AO46" s="202">
        <f>IF(AND(CALCULO!AM43&lt;&gt;"", CALCULO!AM43&lt;0), CALCULO!AM43 * -1, 0)</f>
        <v>0</v>
      </c>
      <c r="AP46" s="321">
        <f>IF(E46-(ALTAS!C46+AQ46+AR46)&gt;=0,+E46-(ALTAS!C46+AQ46+AR46),"NEGATIVO")</f>
        <v>0</v>
      </c>
      <c r="AQ46" s="321">
        <f>+ALTAS!D46</f>
        <v>0</v>
      </c>
      <c r="AR46" s="321">
        <f>+ALTAS!E46</f>
        <v>0</v>
      </c>
      <c r="AS46" s="209">
        <f>IF(AND(CALCULO!AN43&lt;&gt;"", CALCULO!AN43&lt;0), CALCULO!AN43 * -1, 0)</f>
        <v>0</v>
      </c>
      <c r="AT46" s="209">
        <f>IF(AND(CALCULO!AO43&lt;&gt;"", CALCULO!AO43&lt;0), CALCULO!AO43 * -1, 0)</f>
        <v>0</v>
      </c>
      <c r="AU46" s="209">
        <f>IF(AND(CALCULO!AP43&lt;&gt;"", CALCULO!AP43&lt;0), CALCULO!AP43 * -1, 0)</f>
        <v>0</v>
      </c>
      <c r="AV46" s="209">
        <f>IF(AND(CALCULO!AQ43&lt;&gt;"", CALCULO!AQ43&lt;0), CALCULO!AQ43 * -1, 0)</f>
        <v>0</v>
      </c>
      <c r="AW46" s="209">
        <f>IF(AND(CALCULO!AT43&lt;&gt;"", CALCULO!AT43&lt;0), CALCULO!AT43 * -1, 0)</f>
        <v>0</v>
      </c>
      <c r="AX46" s="209">
        <f>IF(AND(CALCULO!AU43&lt;&gt;"", CALCULO!AU43&lt;0), CALCULO!AU43 * -1, 0)</f>
        <v>0</v>
      </c>
      <c r="AY46" s="209">
        <f t="shared" si="2"/>
        <v>0</v>
      </c>
      <c r="AZ46" s="146">
        <f t="shared" si="3"/>
        <v>0</v>
      </c>
      <c r="BB46" s="181">
        <f>IF(AND(CALCULO!AR42&lt;&gt;"", CALCULO!AR42&lt;0), CALCULO!AR42 * -1, 0)</f>
        <v>0</v>
      </c>
      <c r="BC46" s="181">
        <f>IF(AND(CALCULO!AS42&lt;&gt;"", CALCULO!AS42&lt;0), CALCULO!AS42 * -1, 0)</f>
        <v>0</v>
      </c>
      <c r="BG46" s="146">
        <f>IF(AND(CALCULO!AW42&lt;&gt;"", CALCULO!AW42&lt;0), CALCULO!WP42 * -1, 0)</f>
        <v>0</v>
      </c>
      <c r="BH46">
        <f>IF(AND(CALCULO!AX42&lt;&gt;"", CALCULO!AX42&lt;0), CALCULO!AX42 * -1, 0)</f>
        <v>0</v>
      </c>
    </row>
    <row r="47" spans="1:60" x14ac:dyDescent="0.25">
      <c r="A47" s="385"/>
      <c r="B47" s="386"/>
      <c r="C47" s="455"/>
      <c r="D47" s="236" t="s">
        <v>78</v>
      </c>
      <c r="E47" s="205">
        <f t="shared" si="1"/>
        <v>0</v>
      </c>
      <c r="F47" s="155" t="str">
        <f>IF(AND(CALCULO!D44&lt;&gt;"", CALCULO!D44&lt;0), CALCULO!D44 * -1, "")</f>
        <v/>
      </c>
      <c r="G47" s="191" t="str">
        <f>IF(AND(CALCULO!E44&lt;&gt;"", CALCULO!E44&lt;0), CALCULO!E44 * -1, "")</f>
        <v/>
      </c>
      <c r="H47" s="265">
        <f>IF(AND(CALCULO!F44&lt;&gt;"", CALCULO!F44&lt;0), CALCULO!F44 * -1, 0)</f>
        <v>0</v>
      </c>
      <c r="I47" s="155">
        <f>IF(AND(CALCULO!G44&lt;&gt;"", CALCULO!G44&lt;0), CALCULO!G44 * -1, 0)</f>
        <v>0</v>
      </c>
      <c r="J47" s="155">
        <f>IF(AND(CALCULO!H44&lt;&gt;"", CALCULO!H44&lt;0), CALCULO!H44 * -1, 0)</f>
        <v>0</v>
      </c>
      <c r="K47" s="155">
        <f>IF(AND(CALCULO!I44&lt;&gt;"", CALCULO!I44&lt;0), CALCULO!I44 * -1, 0)</f>
        <v>0</v>
      </c>
      <c r="L47" s="155">
        <f>IF(AND(CALCULO!J44&lt;&gt;"", CALCULO!J44&lt;0), CALCULO!J44 * -1, 0)</f>
        <v>0</v>
      </c>
      <c r="M47" s="155">
        <f>IF(AND(CALCULO!K44&lt;&gt;"", CALCULO!K44&lt;0), CALCULO!K44 * -1, 0)</f>
        <v>0</v>
      </c>
      <c r="N47" s="155">
        <f>IF(AND(CALCULO!L44&lt;&gt;"", CALCULO!L44&lt;0), CALCULO!L44 * -1, 0)</f>
        <v>0</v>
      </c>
      <c r="O47" s="155">
        <f>IF(AND(CALCULO!M44&lt;&gt;"", CALCULO!M44&lt;0), CALCULO!M44 * -1, 0)</f>
        <v>0</v>
      </c>
      <c r="P47" s="155">
        <f>IF(AND(CALCULO!N44&lt;&gt;"", CALCULO!N44&lt;0), CALCULO!N44 * -1, 0)</f>
        <v>0</v>
      </c>
      <c r="Q47" s="155">
        <f>IF(AND(CALCULO!O44&lt;&gt;"", CALCULO!O44&lt;0), CALCULO!O44 * -1, 0)</f>
        <v>0</v>
      </c>
      <c r="R47" s="155">
        <f>IF(AND(CALCULO!P44&lt;&gt;"", CALCULO!P44&lt;0), CALCULO!P44 * -1, 0)</f>
        <v>0</v>
      </c>
      <c r="S47" s="155">
        <f>IF(AND(CALCULO!Q44&lt;&gt;"", CALCULO!Q44&lt;0), CALCULO!Q44 * -1, 0)</f>
        <v>0</v>
      </c>
      <c r="T47" s="155">
        <f>IF(AND(CALCULO!R44&lt;&gt;"", CALCULO!R44&lt;0), CALCULO!R44 * -1, 0)</f>
        <v>0</v>
      </c>
      <c r="U47" s="155">
        <f>IF(AND(CALCULO!S44&lt;&gt;"", CALCULO!S44&lt;0), CALCULO!S44 * -1, 0)</f>
        <v>0</v>
      </c>
      <c r="V47" s="155">
        <f>IF(AND(CALCULO!T44&lt;&gt;"", CALCULO!T44&lt;0), CALCULO!T44 * -1, 0)</f>
        <v>0</v>
      </c>
      <c r="W47" s="155">
        <f>IF(AND(CALCULO!U44&lt;&gt;"", CALCULO!U44&lt;0), CALCULO!U44 * -1, 0)</f>
        <v>0</v>
      </c>
      <c r="X47" s="155">
        <f>IF(AND(CALCULO!V44&lt;&gt;"", CALCULO!V44&lt;0), CALCULO!V44 * -1, 0)</f>
        <v>0</v>
      </c>
      <c r="Y47" s="155">
        <f>IF(AND(CALCULO!W44&lt;&gt;"", CALCULO!W44&lt;0), CALCULO!W44 * -1, 0)</f>
        <v>0</v>
      </c>
      <c r="Z47" s="155">
        <f>IF(AND(CALCULO!X44&lt;&gt;"", CALCULO!X44&lt;0), CALCULO!X44 * -1, 0)</f>
        <v>0</v>
      </c>
      <c r="AA47" s="155">
        <f>IF(AND(CALCULO!Y44&lt;&gt;"", CALCULO!Y44&lt;0), CALCULO!Y44 * -1, 0)</f>
        <v>0</v>
      </c>
      <c r="AB47" s="155">
        <f>IF(AND(CALCULO!Z44&lt;&gt;"", CALCULO!Z44&lt;0), CALCULO!Z44 * -1, 0)</f>
        <v>0</v>
      </c>
      <c r="AC47" s="155">
        <f>IF(AND(CALCULO!AA44&lt;&gt;"", CALCULO!AA44&lt;0), CALCULO!AA44 * -1, 0)</f>
        <v>0</v>
      </c>
      <c r="AD47" s="155">
        <f>IF(AND(CALCULO!AB44&lt;&gt;"", CALCULO!AB44&lt;0), CALCULO!AB44 * -1, 0)</f>
        <v>0</v>
      </c>
      <c r="AE47" s="155">
        <f>IF(AND(CALCULO!AC44&lt;&gt;"", CALCULO!AC44&lt;0), CALCULO!AC44 * -1, 0)</f>
        <v>0</v>
      </c>
      <c r="AF47" s="155">
        <f>IF(AND(CALCULO!AD44&lt;&gt;"", CALCULO!AD44&lt;0), CALCULO!AD44 * -1, 0)</f>
        <v>0</v>
      </c>
      <c r="AG47" s="155">
        <f>IF(AND(CALCULO!AE44&lt;&gt;"", CALCULO!AE44&lt;0), CALCULO!AE44 * -1, 0)</f>
        <v>0</v>
      </c>
      <c r="AH47" s="155">
        <f>IF(AND(CALCULO!AF44&lt;&gt;"", CALCULO!AF44&lt;0), CALCULO!AF44 * -1, 0)</f>
        <v>0</v>
      </c>
      <c r="AI47" s="155">
        <f>IF(AND(CALCULO!AG44&lt;&gt;"", CALCULO!AG44&lt;0), CALCULO!AG44 * -1, 0)</f>
        <v>0</v>
      </c>
      <c r="AJ47" s="155">
        <f>IF(AND(CALCULO!AH44&lt;&gt;"", CALCULO!AH44&lt;0), CALCULO!AH44 * -1, 0)</f>
        <v>0</v>
      </c>
      <c r="AK47" s="155">
        <f>IF(AND(CALCULO!AI44&lt;&gt;"", CALCULO!AI44&lt;0), CALCULO!AI44 * -1, 0)</f>
        <v>0</v>
      </c>
      <c r="AL47" s="155">
        <f>IF(AND(CALCULO!AJ44&lt;&gt;"", CALCULO!AJ44&lt;0), CALCULO!AJ44 * -1, 0)</f>
        <v>0</v>
      </c>
      <c r="AM47" s="155">
        <f>IF(AND(CALCULO!AK44&lt;&gt;"", CALCULO!AK44&lt;0), CALCULO!AK44 * -1, 0)</f>
        <v>0</v>
      </c>
      <c r="AN47" s="155">
        <f>IF(AND(CALCULO!AL44&lt;&gt;"", CALCULO!AL44&lt;0), CALCULO!AL44 * -1, 0)</f>
        <v>0</v>
      </c>
      <c r="AO47" s="164">
        <f>IF(AND(CALCULO!AM44&lt;&gt;"", CALCULO!AM44&lt;0), CALCULO!AM44 * -1, 0)</f>
        <v>0</v>
      </c>
      <c r="AP47" s="321">
        <f>IF(E47-(ALTAS!C47+AQ47+AR47)&gt;=0,+E47-(ALTAS!C47+AQ47+AR47),"NEGATIVO")</f>
        <v>0</v>
      </c>
      <c r="AQ47" s="321">
        <f>+ALTAS!D47</f>
        <v>0</v>
      </c>
      <c r="AR47" s="321">
        <f>+ALTAS!E47</f>
        <v>0</v>
      </c>
      <c r="AS47">
        <f>IF(AND(CALCULO!AN44&lt;&gt;"", CALCULO!AN44&lt;0), CALCULO!AN44 * -1, 0)</f>
        <v>0</v>
      </c>
      <c r="AT47">
        <f>IF(AND(CALCULO!AO44&lt;&gt;"", CALCULO!AO44&lt;0), CALCULO!AO44 * -1, 0)</f>
        <v>0</v>
      </c>
      <c r="AU47">
        <f>IF(AND(CALCULO!AP44&lt;&gt;"", CALCULO!AP44&lt;0), CALCULO!AP44 * -1, 0)</f>
        <v>0</v>
      </c>
      <c r="AV47">
        <f>IF(AND(CALCULO!AQ44&lt;&gt;"", CALCULO!AQ44&lt;0), CALCULO!AQ44 * -1, 0)</f>
        <v>0</v>
      </c>
      <c r="AW47">
        <f>IF(AND(CALCULO!AT44&lt;&gt;"", CALCULO!AT44&lt;0), CALCULO!AT44 * -1, 0)</f>
        <v>0</v>
      </c>
      <c r="AX47">
        <f>IF(AND(CALCULO!AU44&lt;&gt;"", CALCULO!AU44&lt;0), CALCULO!AU44 * -1, 0)</f>
        <v>0</v>
      </c>
      <c r="AY47">
        <f t="shared" si="2"/>
        <v>0</v>
      </c>
      <c r="AZ47" s="146">
        <f t="shared" si="3"/>
        <v>0</v>
      </c>
      <c r="BB47" s="181">
        <f>IF(AND(CALCULO!AR43&lt;&gt;"", CALCULO!AR43&lt;0), CALCULO!AR43 * -1, 0)</f>
        <v>0</v>
      </c>
      <c r="BC47" s="181">
        <f>IF(AND(CALCULO!AS43&lt;&gt;"", CALCULO!AS43&lt;0), CALCULO!AS43 * -1, 0)</f>
        <v>0</v>
      </c>
      <c r="BG47" s="146">
        <f>IF(AND(CALCULO!AW43&lt;&gt;"", CALCULO!AW43&lt;0), CALCULO!WP43 * -1, 0)</f>
        <v>0</v>
      </c>
      <c r="BH47">
        <f>IF(AND(CALCULO!AX43&lt;&gt;"", CALCULO!AX43&lt;0), CALCULO!AX43 * -1, 0)</f>
        <v>0</v>
      </c>
    </row>
    <row r="48" spans="1:60" ht="23.25" thickBot="1" x14ac:dyDescent="0.3">
      <c r="A48" s="387"/>
      <c r="B48" s="388"/>
      <c r="C48" s="455"/>
      <c r="D48" s="236" t="s">
        <v>79</v>
      </c>
      <c r="E48" s="205">
        <f t="shared" si="1"/>
        <v>0</v>
      </c>
      <c r="F48" s="155" t="str">
        <f>IF(AND(CALCULO!D45&lt;&gt;"", CALCULO!D45&lt;0), CALCULO!D45 * -1, "")</f>
        <v/>
      </c>
      <c r="G48" s="191" t="str">
        <f>IF(AND(CALCULO!E45&lt;&gt;"", CALCULO!E45&lt;0), CALCULO!E45 * -1, "")</f>
        <v/>
      </c>
      <c r="H48" s="265">
        <f>IF(AND(CALCULO!F45&lt;&gt;"", CALCULO!F45&lt;0), CALCULO!F45 * -1, 0)</f>
        <v>0</v>
      </c>
      <c r="I48" s="155">
        <f>IF(AND(CALCULO!G45&lt;&gt;"", CALCULO!G45&lt;0), CALCULO!G45 * -1, 0)</f>
        <v>0</v>
      </c>
      <c r="J48" s="155">
        <f>IF(AND(CALCULO!H45&lt;&gt;"", CALCULO!H45&lt;0), CALCULO!H45 * -1, 0)</f>
        <v>0</v>
      </c>
      <c r="K48" s="155">
        <f>IF(AND(CALCULO!I45&lt;&gt;"", CALCULO!I45&lt;0), CALCULO!I45 * -1, 0)</f>
        <v>0</v>
      </c>
      <c r="L48" s="155">
        <f>IF(AND(CALCULO!J45&lt;&gt;"", CALCULO!J45&lt;0), CALCULO!J45 * -1, 0)</f>
        <v>0</v>
      </c>
      <c r="M48" s="155">
        <f>IF(AND(CALCULO!K45&lt;&gt;"", CALCULO!K45&lt;0), CALCULO!K45 * -1, 0)</f>
        <v>0</v>
      </c>
      <c r="N48" s="155">
        <f>IF(AND(CALCULO!L45&lt;&gt;"", CALCULO!L45&lt;0), CALCULO!L45 * -1, 0)</f>
        <v>0</v>
      </c>
      <c r="O48" s="155">
        <f>IF(AND(CALCULO!M45&lt;&gt;"", CALCULO!M45&lt;0), CALCULO!M45 * -1, 0)</f>
        <v>0</v>
      </c>
      <c r="P48" s="155">
        <f>IF(AND(CALCULO!N45&lt;&gt;"", CALCULO!N45&lt;0), CALCULO!N45 * -1, 0)</f>
        <v>0</v>
      </c>
      <c r="Q48" s="155">
        <f>IF(AND(CALCULO!O45&lt;&gt;"", CALCULO!O45&lt;0), CALCULO!O45 * -1, 0)</f>
        <v>0</v>
      </c>
      <c r="R48" s="155">
        <f>IF(AND(CALCULO!P45&lt;&gt;"", CALCULO!P45&lt;0), CALCULO!P45 * -1, 0)</f>
        <v>0</v>
      </c>
      <c r="S48" s="155">
        <f>IF(AND(CALCULO!Q45&lt;&gt;"", CALCULO!Q45&lt;0), CALCULO!Q45 * -1, 0)</f>
        <v>0</v>
      </c>
      <c r="T48" s="155">
        <f>IF(AND(CALCULO!R45&lt;&gt;"", CALCULO!R45&lt;0), CALCULO!R45 * -1, 0)</f>
        <v>0</v>
      </c>
      <c r="U48" s="155">
        <f>IF(AND(CALCULO!S45&lt;&gt;"", CALCULO!S45&lt;0), CALCULO!S45 * -1, 0)</f>
        <v>0</v>
      </c>
      <c r="V48" s="155">
        <f>IF(AND(CALCULO!T45&lt;&gt;"", CALCULO!T45&lt;0), CALCULO!T45 * -1, 0)</f>
        <v>0</v>
      </c>
      <c r="W48" s="155">
        <f>IF(AND(CALCULO!U45&lt;&gt;"", CALCULO!U45&lt;0), CALCULO!U45 * -1, 0)</f>
        <v>0</v>
      </c>
      <c r="X48" s="155">
        <f>IF(AND(CALCULO!V45&lt;&gt;"", CALCULO!V45&lt;0), CALCULO!V45 * -1, 0)</f>
        <v>0</v>
      </c>
      <c r="Y48" s="155">
        <f>IF(AND(CALCULO!W45&lt;&gt;"", CALCULO!W45&lt;0), CALCULO!W45 * -1, 0)</f>
        <v>0</v>
      </c>
      <c r="Z48" s="155">
        <f>IF(AND(CALCULO!X45&lt;&gt;"", CALCULO!X45&lt;0), CALCULO!X45 * -1, 0)</f>
        <v>0</v>
      </c>
      <c r="AA48" s="155">
        <f>IF(AND(CALCULO!Y45&lt;&gt;"", CALCULO!Y45&lt;0), CALCULO!Y45 * -1, 0)</f>
        <v>0</v>
      </c>
      <c r="AB48" s="155">
        <f>IF(AND(CALCULO!Z45&lt;&gt;"", CALCULO!Z45&lt;0), CALCULO!Z45 * -1, 0)</f>
        <v>0</v>
      </c>
      <c r="AC48" s="155">
        <f>IF(AND(CALCULO!AA45&lt;&gt;"", CALCULO!AA45&lt;0), CALCULO!AA45 * -1, 0)</f>
        <v>0</v>
      </c>
      <c r="AD48" s="155">
        <f>IF(AND(CALCULO!AB45&lt;&gt;"", CALCULO!AB45&lt;0), CALCULO!AB45 * -1, 0)</f>
        <v>0</v>
      </c>
      <c r="AE48" s="155">
        <f>IF(AND(CALCULO!AC45&lt;&gt;"", CALCULO!AC45&lt;0), CALCULO!AC45 * -1, 0)</f>
        <v>0</v>
      </c>
      <c r="AF48" s="155">
        <f>IF(AND(CALCULO!AD45&lt;&gt;"", CALCULO!AD45&lt;0), CALCULO!AD45 * -1, 0)</f>
        <v>0</v>
      </c>
      <c r="AG48" s="155">
        <f>IF(AND(CALCULO!AE45&lt;&gt;"", CALCULO!AE45&lt;0), CALCULO!AE45 * -1, 0)</f>
        <v>0</v>
      </c>
      <c r="AH48" s="155">
        <f>IF(AND(CALCULO!AF45&lt;&gt;"", CALCULO!AF45&lt;0), CALCULO!AF45 * -1, 0)</f>
        <v>0</v>
      </c>
      <c r="AI48" s="155">
        <f>IF(AND(CALCULO!AG45&lt;&gt;"", CALCULO!AG45&lt;0), CALCULO!AG45 * -1, 0)</f>
        <v>0</v>
      </c>
      <c r="AJ48" s="155">
        <f>IF(AND(CALCULO!AH45&lt;&gt;"", CALCULO!AH45&lt;0), CALCULO!AH45 * -1, 0)</f>
        <v>0</v>
      </c>
      <c r="AK48" s="155">
        <f>IF(AND(CALCULO!AI45&lt;&gt;"", CALCULO!AI45&lt;0), CALCULO!AI45 * -1, 0)</f>
        <v>0</v>
      </c>
      <c r="AL48" s="155">
        <f>IF(AND(CALCULO!AJ45&lt;&gt;"", CALCULO!AJ45&lt;0), CALCULO!AJ45 * -1, 0)</f>
        <v>0</v>
      </c>
      <c r="AM48" s="155">
        <f>IF(AND(CALCULO!AK45&lt;&gt;"", CALCULO!AK45&lt;0), CALCULO!AK45 * -1, 0)</f>
        <v>0</v>
      </c>
      <c r="AN48" s="155">
        <f>IF(AND(CALCULO!AL45&lt;&gt;"", CALCULO!AL45&lt;0), CALCULO!AL45 * -1, 0)</f>
        <v>0</v>
      </c>
      <c r="AO48" s="164">
        <f>IF(AND(CALCULO!AM45&lt;&gt;"", CALCULO!AM45&lt;0), CALCULO!AM45 * -1, 0)</f>
        <v>0</v>
      </c>
      <c r="AP48" s="321">
        <f>IF(E48-(ALTAS!C48+AQ48+AR48)&gt;=0,+E48-(ALTAS!C48+AQ48+AR48),"NEGATIVO")</f>
        <v>0</v>
      </c>
      <c r="AQ48" s="321">
        <f>+ALTAS!D48</f>
        <v>0</v>
      </c>
      <c r="AR48" s="321">
        <f>+ALTAS!E48</f>
        <v>0</v>
      </c>
      <c r="AS48">
        <f>IF(AND(CALCULO!AN45&lt;&gt;"", CALCULO!AN45&lt;0), CALCULO!AN45 * -1, 0)</f>
        <v>0</v>
      </c>
      <c r="AT48">
        <f>IF(AND(CALCULO!AO45&lt;&gt;"", CALCULO!AO45&lt;0), CALCULO!AO45 * -1, 0)</f>
        <v>0</v>
      </c>
      <c r="AU48">
        <f>IF(AND(CALCULO!AP45&lt;&gt;"", CALCULO!AP45&lt;0), CALCULO!AP45 * -1, 0)</f>
        <v>0</v>
      </c>
      <c r="AV48">
        <f>IF(AND(CALCULO!AQ45&lt;&gt;"", CALCULO!AQ45&lt;0), CALCULO!AQ45 * -1, 0)</f>
        <v>0</v>
      </c>
      <c r="AW48">
        <f>IF(AND(CALCULO!AT45&lt;&gt;"", CALCULO!AT45&lt;0), CALCULO!AT45 * -1, 0)</f>
        <v>0</v>
      </c>
      <c r="AX48">
        <f>IF(AND(CALCULO!AU45&lt;&gt;"", CALCULO!AU45&lt;0), CALCULO!AU45 * -1, 0)</f>
        <v>0</v>
      </c>
      <c r="AY48">
        <f t="shared" si="2"/>
        <v>0</v>
      </c>
      <c r="AZ48" s="146">
        <f t="shared" si="3"/>
        <v>0</v>
      </c>
      <c r="BB48" s="181">
        <f>IF(AND(CALCULO!AR44&lt;&gt;"", CALCULO!AR44&lt;0), CALCULO!AR44 * -1, 0)</f>
        <v>0</v>
      </c>
      <c r="BC48" s="181">
        <f>IF(AND(CALCULO!AS44&lt;&gt;"", CALCULO!AS44&lt;0), CALCULO!AS44 * -1, 0)</f>
        <v>0</v>
      </c>
      <c r="BG48" s="146">
        <f>IF(AND(CALCULO!AW44&lt;&gt;"", CALCULO!AW44&lt;0), CALCULO!WP44 * -1, 0)</f>
        <v>0</v>
      </c>
      <c r="BH48">
        <f>IF(AND(CALCULO!AX44&lt;&gt;"", CALCULO!AX44&lt;0), CALCULO!AX44 * -1, 0)</f>
        <v>0</v>
      </c>
    </row>
    <row r="49" spans="1:60" ht="43.5" x14ac:dyDescent="0.25">
      <c r="A49" s="374"/>
      <c r="B49" s="223"/>
      <c r="C49" s="455"/>
      <c r="D49" s="236" t="s">
        <v>80</v>
      </c>
      <c r="E49" s="205">
        <f t="shared" si="1"/>
        <v>0</v>
      </c>
      <c r="F49" s="155" t="str">
        <f>IF(AND(CALCULO!D46&lt;&gt;"", CALCULO!D46&lt;0), CALCULO!D46 * -1, "")</f>
        <v/>
      </c>
      <c r="G49" s="191" t="str">
        <f>IF(AND(CALCULO!E46&lt;&gt;"", CALCULO!E46&lt;0), CALCULO!E46 * -1, "")</f>
        <v/>
      </c>
      <c r="H49" s="265">
        <f>IF(AND(CALCULO!F46&lt;&gt;"", CALCULO!F46&lt;0), CALCULO!F46 * -1, 0)</f>
        <v>0</v>
      </c>
      <c r="I49" s="155">
        <f>IF(AND(CALCULO!G46&lt;&gt;"", CALCULO!G46&lt;0), CALCULO!G46 * -1, 0)</f>
        <v>0</v>
      </c>
      <c r="J49" s="155">
        <f>IF(AND(CALCULO!H46&lt;&gt;"", CALCULO!H46&lt;0), CALCULO!H46 * -1, 0)</f>
        <v>0</v>
      </c>
      <c r="K49" s="155">
        <f>IF(AND(CALCULO!I46&lt;&gt;"", CALCULO!I46&lt;0), CALCULO!I46 * -1, 0)</f>
        <v>0</v>
      </c>
      <c r="L49" s="155">
        <f>IF(AND(CALCULO!J46&lt;&gt;"", CALCULO!J46&lt;0), CALCULO!J46 * -1, 0)</f>
        <v>0</v>
      </c>
      <c r="M49" s="155">
        <f>IF(AND(CALCULO!K46&lt;&gt;"", CALCULO!K46&lt;0), CALCULO!K46 * -1, 0)</f>
        <v>0</v>
      </c>
      <c r="N49" s="155">
        <f>IF(AND(CALCULO!L46&lt;&gt;"", CALCULO!L46&lt;0), CALCULO!L46 * -1, 0)</f>
        <v>0</v>
      </c>
      <c r="O49" s="155">
        <f>IF(AND(CALCULO!M46&lt;&gt;"", CALCULO!M46&lt;0), CALCULO!M46 * -1, 0)</f>
        <v>0</v>
      </c>
      <c r="P49" s="155">
        <f>IF(AND(CALCULO!N46&lt;&gt;"", CALCULO!N46&lt;0), CALCULO!N46 * -1, 0)</f>
        <v>0</v>
      </c>
      <c r="Q49" s="155">
        <f>IF(AND(CALCULO!O46&lt;&gt;"", CALCULO!O46&lt;0), CALCULO!O46 * -1, 0)</f>
        <v>0</v>
      </c>
      <c r="R49" s="155">
        <f>IF(AND(CALCULO!P46&lt;&gt;"", CALCULO!P46&lt;0), CALCULO!P46 * -1, 0)</f>
        <v>0</v>
      </c>
      <c r="S49" s="155">
        <f>IF(AND(CALCULO!Q46&lt;&gt;"", CALCULO!Q46&lt;0), CALCULO!Q46 * -1, 0)</f>
        <v>0</v>
      </c>
      <c r="T49" s="155">
        <f>IF(AND(CALCULO!R46&lt;&gt;"", CALCULO!R46&lt;0), CALCULO!R46 * -1, 0)</f>
        <v>0</v>
      </c>
      <c r="U49" s="155">
        <f>IF(AND(CALCULO!S46&lt;&gt;"", CALCULO!S46&lt;0), CALCULO!S46 * -1, 0)</f>
        <v>0</v>
      </c>
      <c r="V49" s="155">
        <f>IF(AND(CALCULO!T46&lt;&gt;"", CALCULO!T46&lt;0), CALCULO!T46 * -1, 0)</f>
        <v>0</v>
      </c>
      <c r="W49" s="155">
        <f>IF(AND(CALCULO!U46&lt;&gt;"", CALCULO!U46&lt;0), CALCULO!U46 * -1, 0)</f>
        <v>0</v>
      </c>
      <c r="X49" s="155">
        <f>IF(AND(CALCULO!V46&lt;&gt;"", CALCULO!V46&lt;0), CALCULO!V46 * -1, 0)</f>
        <v>0</v>
      </c>
      <c r="Y49" s="155">
        <f>IF(AND(CALCULO!W46&lt;&gt;"", CALCULO!W46&lt;0), CALCULO!W46 * -1, 0)</f>
        <v>0</v>
      </c>
      <c r="Z49" s="155">
        <f>IF(AND(CALCULO!X46&lt;&gt;"", CALCULO!X46&lt;0), CALCULO!X46 * -1, 0)</f>
        <v>0</v>
      </c>
      <c r="AA49" s="155">
        <f>IF(AND(CALCULO!Y46&lt;&gt;"", CALCULO!Y46&lt;0), CALCULO!Y46 * -1, 0)</f>
        <v>0</v>
      </c>
      <c r="AB49" s="155">
        <f>IF(AND(CALCULO!Z46&lt;&gt;"", CALCULO!Z46&lt;0), CALCULO!Z46 * -1, 0)</f>
        <v>0</v>
      </c>
      <c r="AC49" s="155">
        <f>IF(AND(CALCULO!AA46&lt;&gt;"", CALCULO!AA46&lt;0), CALCULO!AA46 * -1, 0)</f>
        <v>0</v>
      </c>
      <c r="AD49" s="155">
        <f>IF(AND(CALCULO!AB46&lt;&gt;"", CALCULO!AB46&lt;0), CALCULO!AB46 * -1, 0)</f>
        <v>0</v>
      </c>
      <c r="AE49" s="155">
        <f>IF(AND(CALCULO!AC46&lt;&gt;"", CALCULO!AC46&lt;0), CALCULO!AC46 * -1, 0)</f>
        <v>0</v>
      </c>
      <c r="AF49" s="155">
        <f>IF(AND(CALCULO!AD46&lt;&gt;"", CALCULO!AD46&lt;0), CALCULO!AD46 * -1, 0)</f>
        <v>0</v>
      </c>
      <c r="AG49" s="155">
        <f>IF(AND(CALCULO!AE46&lt;&gt;"", CALCULO!AE46&lt;0), CALCULO!AE46 * -1, 0)</f>
        <v>0</v>
      </c>
      <c r="AH49" s="155">
        <f>IF(AND(CALCULO!AF46&lt;&gt;"", CALCULO!AF46&lt;0), CALCULO!AF46 * -1, 0)</f>
        <v>0</v>
      </c>
      <c r="AI49" s="155">
        <f>IF(AND(CALCULO!AG46&lt;&gt;"", CALCULO!AG46&lt;0), CALCULO!AG46 * -1, 0)</f>
        <v>0</v>
      </c>
      <c r="AJ49" s="155">
        <f>IF(AND(CALCULO!AH46&lt;&gt;"", CALCULO!AH46&lt;0), CALCULO!AH46 * -1, 0)</f>
        <v>0</v>
      </c>
      <c r="AK49" s="155">
        <f>IF(AND(CALCULO!AI46&lt;&gt;"", CALCULO!AI46&lt;0), CALCULO!AI46 * -1, 0)</f>
        <v>0</v>
      </c>
      <c r="AL49" s="155">
        <f>IF(AND(CALCULO!AJ46&lt;&gt;"", CALCULO!AJ46&lt;0), CALCULO!AJ46 * -1, 0)</f>
        <v>0</v>
      </c>
      <c r="AM49" s="155">
        <f>IF(AND(CALCULO!AK46&lt;&gt;"", CALCULO!AK46&lt;0), CALCULO!AK46 * -1, 0)</f>
        <v>0</v>
      </c>
      <c r="AN49" s="155">
        <f>IF(AND(CALCULO!AL46&lt;&gt;"", CALCULO!AL46&lt;0), CALCULO!AL46 * -1, 0)</f>
        <v>0</v>
      </c>
      <c r="AO49" s="164">
        <f>IF(AND(CALCULO!AM46&lt;&gt;"", CALCULO!AM46&lt;0), CALCULO!AM46 * -1, 0)</f>
        <v>0</v>
      </c>
      <c r="AP49" s="321">
        <f>IF(E49-(ALTAS!C49+AQ49+AR49)&gt;=0,+E49-(ALTAS!C49+AQ49+AR49),"NEGATIVO")</f>
        <v>0</v>
      </c>
      <c r="AQ49" s="321">
        <f>+ALTAS!D49</f>
        <v>0</v>
      </c>
      <c r="AR49" s="321">
        <f>+ALTAS!E49</f>
        <v>0</v>
      </c>
      <c r="AS49">
        <f>IF(AND(CALCULO!AN46&lt;&gt;"", CALCULO!AN46&lt;0), CALCULO!AN46 * -1, 0)</f>
        <v>0</v>
      </c>
      <c r="AT49">
        <f>IF(AND(CALCULO!AO46&lt;&gt;"", CALCULO!AO46&lt;0), CALCULO!AO46 * -1, 0)</f>
        <v>0</v>
      </c>
      <c r="AU49">
        <f>IF(AND(CALCULO!AP46&lt;&gt;"", CALCULO!AP46&lt;0), CALCULO!AP46 * -1, 0)</f>
        <v>0</v>
      </c>
      <c r="AV49">
        <f>IF(AND(CALCULO!AQ46&lt;&gt;"", CALCULO!AQ46&lt;0), CALCULO!AQ46 * -1, 0)</f>
        <v>0</v>
      </c>
      <c r="AW49">
        <f>IF(AND(CALCULO!AT46&lt;&gt;"", CALCULO!AT46&lt;0), CALCULO!AT46 * -1, 0)</f>
        <v>0</v>
      </c>
      <c r="AX49">
        <f>IF(AND(CALCULO!AU46&lt;&gt;"", CALCULO!AU46&lt;0), CALCULO!AU46 * -1, 0)</f>
        <v>0</v>
      </c>
      <c r="AY49">
        <f t="shared" si="2"/>
        <v>0</v>
      </c>
      <c r="AZ49" s="146">
        <f t="shared" si="3"/>
        <v>0</v>
      </c>
      <c r="BB49" s="181">
        <f>IF(AND(CALCULO!AR45&lt;&gt;"", CALCULO!AR45&lt;0), CALCULO!AR45 * -1, 0)</f>
        <v>0</v>
      </c>
      <c r="BC49" s="181">
        <f>IF(AND(CALCULO!AS45&lt;&gt;"", CALCULO!AS45&lt;0), CALCULO!AS45 * -1, 0)</f>
        <v>0</v>
      </c>
      <c r="BG49" s="146">
        <f>IF(AND(CALCULO!AW45&lt;&gt;"", CALCULO!AW45&lt;0), CALCULO!WP45 * -1, 0)</f>
        <v>0</v>
      </c>
      <c r="BH49">
        <f>IF(AND(CALCULO!AX45&lt;&gt;"", CALCULO!AX45&lt;0), CALCULO!AX45 * -1, 0)</f>
        <v>0</v>
      </c>
    </row>
    <row r="50" spans="1:60" ht="65.25" thickBot="1" x14ac:dyDescent="0.3">
      <c r="A50" s="375"/>
      <c r="B50" s="179"/>
      <c r="C50" s="455"/>
      <c r="D50" s="236" t="s">
        <v>81</v>
      </c>
      <c r="E50" s="206">
        <f t="shared" si="1"/>
        <v>0</v>
      </c>
      <c r="F50" s="193" t="str">
        <f>IF(AND(CALCULO!D47&lt;&gt;"", CALCULO!D47&lt;0), CALCULO!D47 * -1, "")</f>
        <v/>
      </c>
      <c r="G50" s="194" t="str">
        <f>IF(AND(CALCULO!E47&lt;&gt;"", CALCULO!E47&lt;0), CALCULO!E47 * -1, "")</f>
        <v/>
      </c>
      <c r="H50" s="267">
        <f>IF(AND(CALCULO!F47&lt;&gt;"", CALCULO!F47&lt;0), CALCULO!F47 * -1, 0)</f>
        <v>0</v>
      </c>
      <c r="I50" s="193">
        <f>IF(AND(CALCULO!G47&lt;&gt;"", CALCULO!G47&lt;0), CALCULO!G47 * -1, 0)</f>
        <v>0</v>
      </c>
      <c r="J50" s="193">
        <f>IF(AND(CALCULO!H47&lt;&gt;"", CALCULO!H47&lt;0), CALCULO!H47 * -1, 0)</f>
        <v>0</v>
      </c>
      <c r="K50" s="193">
        <f>IF(AND(CALCULO!I47&lt;&gt;"", CALCULO!I47&lt;0), CALCULO!I47 * -1, 0)</f>
        <v>0</v>
      </c>
      <c r="L50" s="193">
        <f>IF(AND(CALCULO!J47&lt;&gt;"", CALCULO!J47&lt;0), CALCULO!J47 * -1, 0)</f>
        <v>0</v>
      </c>
      <c r="M50" s="193">
        <f>IF(AND(CALCULO!K47&lt;&gt;"", CALCULO!K47&lt;0), CALCULO!K47 * -1, 0)</f>
        <v>0</v>
      </c>
      <c r="N50" s="193">
        <f>IF(AND(CALCULO!L47&lt;&gt;"", CALCULO!L47&lt;0), CALCULO!L47 * -1, 0)</f>
        <v>0</v>
      </c>
      <c r="O50" s="193">
        <f>IF(AND(CALCULO!M47&lt;&gt;"", CALCULO!M47&lt;0), CALCULO!M47 * -1, 0)</f>
        <v>0</v>
      </c>
      <c r="P50" s="193">
        <f>IF(AND(CALCULO!N47&lt;&gt;"", CALCULO!N47&lt;0), CALCULO!N47 * -1, 0)</f>
        <v>0</v>
      </c>
      <c r="Q50" s="193">
        <f>IF(AND(CALCULO!O47&lt;&gt;"", CALCULO!O47&lt;0), CALCULO!O47 * -1, 0)</f>
        <v>0</v>
      </c>
      <c r="R50" s="193">
        <f>IF(AND(CALCULO!P47&lt;&gt;"", CALCULO!P47&lt;0), CALCULO!P47 * -1, 0)</f>
        <v>0</v>
      </c>
      <c r="S50" s="193">
        <f>IF(AND(CALCULO!Q47&lt;&gt;"", CALCULO!Q47&lt;0), CALCULO!Q47 * -1, 0)</f>
        <v>0</v>
      </c>
      <c r="T50" s="193">
        <f>IF(AND(CALCULO!R47&lt;&gt;"", CALCULO!R47&lt;0), CALCULO!R47 * -1, 0)</f>
        <v>0</v>
      </c>
      <c r="U50" s="193">
        <f>IF(AND(CALCULO!S47&lt;&gt;"", CALCULO!S47&lt;0), CALCULO!S47 * -1, 0)</f>
        <v>0</v>
      </c>
      <c r="V50" s="193">
        <f>IF(AND(CALCULO!T47&lt;&gt;"", CALCULO!T47&lt;0), CALCULO!T47 * -1, 0)</f>
        <v>0</v>
      </c>
      <c r="W50" s="193">
        <f>IF(AND(CALCULO!U47&lt;&gt;"", CALCULO!U47&lt;0), CALCULO!U47 * -1, 0)</f>
        <v>0</v>
      </c>
      <c r="X50" s="193">
        <f>IF(AND(CALCULO!V47&lt;&gt;"", CALCULO!V47&lt;0), CALCULO!V47 * -1, 0)</f>
        <v>0</v>
      </c>
      <c r="Y50" s="193">
        <f>IF(AND(CALCULO!W47&lt;&gt;"", CALCULO!W47&lt;0), CALCULO!W47 * -1, 0)</f>
        <v>0</v>
      </c>
      <c r="Z50" s="193">
        <f>IF(AND(CALCULO!X47&lt;&gt;"", CALCULO!X47&lt;0), CALCULO!X47 * -1, 0)</f>
        <v>0</v>
      </c>
      <c r="AA50" s="193">
        <f>IF(AND(CALCULO!Y47&lt;&gt;"", CALCULO!Y47&lt;0), CALCULO!Y47 * -1, 0)</f>
        <v>0</v>
      </c>
      <c r="AB50" s="193">
        <f>IF(AND(CALCULO!Z47&lt;&gt;"", CALCULO!Z47&lt;0), CALCULO!Z47 * -1, 0)</f>
        <v>0</v>
      </c>
      <c r="AC50" s="193">
        <f>IF(AND(CALCULO!AA47&lt;&gt;"", CALCULO!AA47&lt;0), CALCULO!AA47 * -1, 0)</f>
        <v>0</v>
      </c>
      <c r="AD50" s="193">
        <f>IF(AND(CALCULO!AB47&lt;&gt;"", CALCULO!AB47&lt;0), CALCULO!AB47 * -1, 0)</f>
        <v>0</v>
      </c>
      <c r="AE50" s="193">
        <f>IF(AND(CALCULO!AC47&lt;&gt;"", CALCULO!AC47&lt;0), CALCULO!AC47 * -1, 0)</f>
        <v>0</v>
      </c>
      <c r="AF50" s="193">
        <f>IF(AND(CALCULO!AD47&lt;&gt;"", CALCULO!AD47&lt;0), CALCULO!AD47 * -1, 0)</f>
        <v>0</v>
      </c>
      <c r="AG50" s="193">
        <f>IF(AND(CALCULO!AE47&lt;&gt;"", CALCULO!AE47&lt;0), CALCULO!AE47 * -1, 0)</f>
        <v>0</v>
      </c>
      <c r="AH50" s="193">
        <f>IF(AND(CALCULO!AF47&lt;&gt;"", CALCULO!AF47&lt;0), CALCULO!AF47 * -1, 0)</f>
        <v>0</v>
      </c>
      <c r="AI50" s="193">
        <f>IF(AND(CALCULO!AG47&lt;&gt;"", CALCULO!AG47&lt;0), CALCULO!AG47 * -1, 0)</f>
        <v>0</v>
      </c>
      <c r="AJ50" s="193">
        <f>IF(AND(CALCULO!AH47&lt;&gt;"", CALCULO!AH47&lt;0), CALCULO!AH47 * -1, 0)</f>
        <v>0</v>
      </c>
      <c r="AK50" s="193">
        <f>IF(AND(CALCULO!AI47&lt;&gt;"", CALCULO!AI47&lt;0), CALCULO!AI47 * -1, 0)</f>
        <v>0</v>
      </c>
      <c r="AL50" s="193">
        <f>IF(AND(CALCULO!AJ47&lt;&gt;"", CALCULO!AJ47&lt;0), CALCULO!AJ47 * -1, 0)</f>
        <v>0</v>
      </c>
      <c r="AM50" s="193">
        <f>IF(AND(CALCULO!AK47&lt;&gt;"", CALCULO!AK47&lt;0), CALCULO!AK47 * -1, 0)</f>
        <v>0</v>
      </c>
      <c r="AN50" s="193">
        <f>IF(AND(CALCULO!AL47&lt;&gt;"", CALCULO!AL47&lt;0), CALCULO!AL47 * -1, 0)</f>
        <v>0</v>
      </c>
      <c r="AO50" s="203">
        <f>IF(AND(CALCULO!AM47&lt;&gt;"", CALCULO!AM47&lt;0), CALCULO!AM47 * -1, 0)</f>
        <v>0</v>
      </c>
      <c r="AP50" s="321">
        <f>IF(E50-(ALTAS!C50+AQ50+AR50)&gt;=0,+E50-(ALTAS!C50+AQ50+AR50),"NEGATIVO")</f>
        <v>0</v>
      </c>
      <c r="AQ50" s="321">
        <f>+ALTAS!D50</f>
        <v>0</v>
      </c>
      <c r="AR50" s="321">
        <f>+ALTAS!E50</f>
        <v>0</v>
      </c>
      <c r="AS50" s="212">
        <f>IF(AND(CALCULO!AN47&lt;&gt;"", CALCULO!AN47&lt;0), CALCULO!AN47 * -1, 0)</f>
        <v>0</v>
      </c>
      <c r="AT50" s="212">
        <f>IF(AND(CALCULO!AO47&lt;&gt;"", CALCULO!AO47&lt;0), CALCULO!AO47 * -1, 0)</f>
        <v>0</v>
      </c>
      <c r="AU50" s="212">
        <f>IF(AND(CALCULO!AP47&lt;&gt;"", CALCULO!AP47&lt;0), CALCULO!AP47 * -1, 0)</f>
        <v>0</v>
      </c>
      <c r="AV50" s="212">
        <f>IF(AND(CALCULO!AQ47&lt;&gt;"", CALCULO!AQ47&lt;0), CALCULO!AQ47 * -1, 0)</f>
        <v>0</v>
      </c>
      <c r="AW50" s="212">
        <f>IF(AND(CALCULO!AT47&lt;&gt;"", CALCULO!AT47&lt;0), CALCULO!AT47 * -1, 0)</f>
        <v>0</v>
      </c>
      <c r="AX50" s="212">
        <f>IF(AND(CALCULO!AU47&lt;&gt;"", CALCULO!AU47&lt;0), CALCULO!AU47 * -1, 0)</f>
        <v>0</v>
      </c>
      <c r="AY50" s="212">
        <f t="shared" si="2"/>
        <v>0</v>
      </c>
      <c r="AZ50" s="146">
        <f t="shared" si="3"/>
        <v>0</v>
      </c>
      <c r="BB50" s="181">
        <f>IF(AND(CALCULO!AR46&lt;&gt;"", CALCULO!AR46&lt;0), CALCULO!AR46 * -1, 0)</f>
        <v>0</v>
      </c>
      <c r="BC50" s="181">
        <f>IF(AND(CALCULO!AS46&lt;&gt;"", CALCULO!AS46&lt;0), CALCULO!AS46 * -1, 0)</f>
        <v>0</v>
      </c>
      <c r="BG50" s="146">
        <f>IF(AND(CALCULO!AW46&lt;&gt;"", CALCULO!AW46&lt;0), CALCULO!WP46 * -1, 0)</f>
        <v>0</v>
      </c>
      <c r="BH50">
        <f>IF(AND(CALCULO!AX46&lt;&gt;"", CALCULO!AX46&lt;0), CALCULO!AX46 * -1, 0)</f>
        <v>0</v>
      </c>
    </row>
    <row r="51" spans="1:60" ht="15.75" thickBot="1" x14ac:dyDescent="0.3">
      <c r="A51" s="375"/>
      <c r="B51" s="179"/>
      <c r="C51" s="159" t="s">
        <v>82</v>
      </c>
      <c r="D51" s="245"/>
      <c r="E51" s="253">
        <f t="shared" si="1"/>
        <v>0</v>
      </c>
      <c r="F51" s="187" t="str">
        <f>IF(AND(CALCULO!D48&lt;&gt;"", CALCULO!D48&lt;0), CALCULO!D48 * -1, "")</f>
        <v/>
      </c>
      <c r="G51" s="254" t="str">
        <f>IF(AND(CALCULO!E48&lt;&gt;"", CALCULO!E48&lt;0), CALCULO!E48 * -1, "")</f>
        <v/>
      </c>
      <c r="H51" s="187">
        <f>IF(AND(CALCULO!F48&lt;&gt;"", CALCULO!F48&lt;0), CALCULO!F48 * -1, 0)</f>
        <v>0</v>
      </c>
      <c r="I51" s="187">
        <f>IF(AND(CALCULO!G48&lt;&gt;"", CALCULO!G48&lt;0), CALCULO!G48 * -1, 0)</f>
        <v>0</v>
      </c>
      <c r="J51" s="187">
        <f>IF(AND(CALCULO!H48&lt;&gt;"", CALCULO!H48&lt;0), CALCULO!H48 * -1, 0)</f>
        <v>0</v>
      </c>
      <c r="K51" s="187">
        <f>IF(AND(CALCULO!I48&lt;&gt;"", CALCULO!I48&lt;0), CALCULO!I48 * -1, 0)</f>
        <v>0</v>
      </c>
      <c r="L51" s="187">
        <f>IF(AND(CALCULO!J48&lt;&gt;"", CALCULO!J48&lt;0), CALCULO!J48 * -1, 0)</f>
        <v>0</v>
      </c>
      <c r="M51" s="187">
        <f>IF(AND(CALCULO!K48&lt;&gt;"", CALCULO!K48&lt;0), CALCULO!K48 * -1, 0)</f>
        <v>0</v>
      </c>
      <c r="N51" s="187">
        <f>IF(AND(CALCULO!L48&lt;&gt;"", CALCULO!L48&lt;0), CALCULO!L48 * -1, 0)</f>
        <v>0</v>
      </c>
      <c r="O51" s="187">
        <f>IF(AND(CALCULO!M48&lt;&gt;"", CALCULO!M48&lt;0), CALCULO!M48 * -1, 0)</f>
        <v>0</v>
      </c>
      <c r="P51" s="187">
        <f>IF(AND(CALCULO!N48&lt;&gt;"", CALCULO!N48&lt;0), CALCULO!N48 * -1, 0)</f>
        <v>0</v>
      </c>
      <c r="Q51" s="187">
        <f>IF(AND(CALCULO!O48&lt;&gt;"", CALCULO!O48&lt;0), CALCULO!O48 * -1, 0)</f>
        <v>0</v>
      </c>
      <c r="R51" s="187">
        <f>IF(AND(CALCULO!P48&lt;&gt;"", CALCULO!P48&lt;0), CALCULO!P48 * -1, 0)</f>
        <v>0</v>
      </c>
      <c r="S51" s="187">
        <f>IF(AND(CALCULO!Q48&lt;&gt;"", CALCULO!Q48&lt;0), CALCULO!Q48 * -1, 0)</f>
        <v>0</v>
      </c>
      <c r="T51" s="187">
        <f>IF(AND(CALCULO!R48&lt;&gt;"", CALCULO!R48&lt;0), CALCULO!R48 * -1, 0)</f>
        <v>0</v>
      </c>
      <c r="U51" s="187">
        <f>IF(AND(CALCULO!S48&lt;&gt;"", CALCULO!S48&lt;0), CALCULO!S48 * -1, 0)</f>
        <v>0</v>
      </c>
      <c r="V51" s="187">
        <f>IF(AND(CALCULO!T48&lt;&gt;"", CALCULO!T48&lt;0), CALCULO!T48 * -1, 0)</f>
        <v>0</v>
      </c>
      <c r="W51" s="187">
        <f>IF(AND(CALCULO!U48&lt;&gt;"", CALCULO!U48&lt;0), CALCULO!U48 * -1, 0)</f>
        <v>0</v>
      </c>
      <c r="X51" s="187">
        <f>IF(AND(CALCULO!V48&lt;&gt;"", CALCULO!V48&lt;0), CALCULO!V48 * -1, 0)</f>
        <v>0</v>
      </c>
      <c r="Y51" s="187">
        <f>IF(AND(CALCULO!W48&lt;&gt;"", CALCULO!W48&lt;0), CALCULO!W48 * -1, 0)</f>
        <v>0</v>
      </c>
      <c r="Z51" s="187">
        <f>IF(AND(CALCULO!X48&lt;&gt;"", CALCULO!X48&lt;0), CALCULO!X48 * -1, 0)</f>
        <v>0</v>
      </c>
      <c r="AA51" s="187">
        <f>IF(AND(CALCULO!Y48&lt;&gt;"", CALCULO!Y48&lt;0), CALCULO!Y48 * -1, 0)</f>
        <v>0</v>
      </c>
      <c r="AB51" s="187">
        <f>IF(AND(CALCULO!Z48&lt;&gt;"", CALCULO!Z48&lt;0), CALCULO!Z48 * -1, 0)</f>
        <v>0</v>
      </c>
      <c r="AC51" s="187">
        <f>IF(AND(CALCULO!AA48&lt;&gt;"", CALCULO!AA48&lt;0), CALCULO!AA48 * -1, 0)</f>
        <v>0</v>
      </c>
      <c r="AD51" s="187">
        <f>IF(AND(CALCULO!AB48&lt;&gt;"", CALCULO!AB48&lt;0), CALCULO!AB48 * -1, 0)</f>
        <v>0</v>
      </c>
      <c r="AE51" s="187">
        <f>IF(AND(CALCULO!AC48&lt;&gt;"", CALCULO!AC48&lt;0), CALCULO!AC48 * -1, 0)</f>
        <v>0</v>
      </c>
      <c r="AF51" s="187">
        <f>IF(AND(CALCULO!AD48&lt;&gt;"", CALCULO!AD48&lt;0), CALCULO!AD48 * -1, 0)</f>
        <v>0</v>
      </c>
      <c r="AG51" s="187">
        <f>IF(AND(CALCULO!AE48&lt;&gt;"", CALCULO!AE48&lt;0), CALCULO!AE48 * -1, 0)</f>
        <v>0</v>
      </c>
      <c r="AH51" s="187">
        <f>IF(AND(CALCULO!AF48&lt;&gt;"", CALCULO!AF48&lt;0), CALCULO!AF48 * -1, 0)</f>
        <v>0</v>
      </c>
      <c r="AI51" s="187">
        <f>IF(AND(CALCULO!AG48&lt;&gt;"", CALCULO!AG48&lt;0), CALCULO!AG48 * -1, 0)</f>
        <v>0</v>
      </c>
      <c r="AJ51" s="187">
        <f>IF(AND(CALCULO!AH48&lt;&gt;"", CALCULO!AH48&lt;0), CALCULO!AH48 * -1, 0)</f>
        <v>0</v>
      </c>
      <c r="AK51" s="187">
        <f>IF(AND(CALCULO!AI48&lt;&gt;"", CALCULO!AI48&lt;0), CALCULO!AI48 * -1, 0)</f>
        <v>0</v>
      </c>
      <c r="AL51" s="187">
        <f>IF(AND(CALCULO!AJ48&lt;&gt;"", CALCULO!AJ48&lt;0), CALCULO!AJ48 * -1, 0)</f>
        <v>0</v>
      </c>
      <c r="AM51" s="187">
        <f>IF(AND(CALCULO!AK48&lt;&gt;"", CALCULO!AK48&lt;0), CALCULO!AK48 * -1, 0)</f>
        <v>0</v>
      </c>
      <c r="AN51" s="187">
        <f>IF(AND(CALCULO!AL48&lt;&gt;"", CALCULO!AL48&lt;0), CALCULO!AL48 * -1, 0)</f>
        <v>0</v>
      </c>
      <c r="AO51" s="187">
        <f>IF(AND(CALCULO!AM48&lt;&gt;"", CALCULO!AM48&lt;0), CALCULO!AM48 * -1, 0)</f>
        <v>0</v>
      </c>
      <c r="AP51" s="321">
        <f>IF(E51-(ALTAS!C51+AQ51+AR51)&gt;=0,+E51-(ALTAS!C51+AQ51+AR51),"NEGATIVO")</f>
        <v>0</v>
      </c>
      <c r="AQ51" s="321">
        <f>+ALTAS!D51</f>
        <v>0</v>
      </c>
      <c r="AR51" s="321">
        <f>+ALTAS!E51</f>
        <v>0</v>
      </c>
      <c r="AS51" s="216">
        <f>IF(AND(CALCULO!AN48&lt;&gt;"", CALCULO!AN48&lt;0), CALCULO!AN48 * -1, 0)</f>
        <v>0</v>
      </c>
      <c r="AT51" s="216">
        <f>IF(AND(CALCULO!AO48&lt;&gt;"", CALCULO!AO48&lt;0), CALCULO!AO48 * -1, 0)</f>
        <v>0</v>
      </c>
      <c r="AU51" s="216">
        <f>IF(AND(CALCULO!AP48&lt;&gt;"", CALCULO!AP48&lt;0), CALCULO!AP48 * -1, 0)</f>
        <v>0</v>
      </c>
      <c r="AV51" s="216">
        <f>IF(AND(CALCULO!AQ48&lt;&gt;"", CALCULO!AQ48&lt;0), CALCULO!AQ48 * -1, 0)</f>
        <v>0</v>
      </c>
      <c r="AW51" s="216">
        <f>IF(AND(CALCULO!AT48&lt;&gt;"", CALCULO!AT48&lt;0), CALCULO!AT48 * -1, 0)</f>
        <v>0</v>
      </c>
      <c r="AX51" s="216">
        <f>IF(AND(CALCULO!AU48&lt;&gt;"", CALCULO!AU48&lt;0), CALCULO!AU48 * -1, 0)</f>
        <v>0</v>
      </c>
      <c r="AY51" s="216">
        <f t="shared" si="2"/>
        <v>0</v>
      </c>
      <c r="AZ51" s="146">
        <f t="shared" si="3"/>
        <v>0</v>
      </c>
      <c r="BB51" s="181">
        <f>IF(AND(CALCULO!AR47&lt;&gt;"", CALCULO!AR47&lt;0), CALCULO!AR47 * -1, 0)</f>
        <v>0</v>
      </c>
      <c r="BC51" s="181">
        <f>IF(AND(CALCULO!AS47&lt;&gt;"", CALCULO!AS47&lt;0), CALCULO!AS47 * -1, 0)</f>
        <v>0</v>
      </c>
      <c r="BG51" s="146">
        <f>IF(AND(CALCULO!AW47&lt;&gt;"", CALCULO!AW47&lt;0), CALCULO!WP47 * -1, 0)</f>
        <v>0</v>
      </c>
      <c r="BH51">
        <f>IF(AND(CALCULO!AX47&lt;&gt;"", CALCULO!AX47&lt;0), CALCULO!AX47 * -1, 0)</f>
        <v>0</v>
      </c>
    </row>
    <row r="52" spans="1:60" ht="15.75" thickBot="1" x14ac:dyDescent="0.3">
      <c r="A52" s="375"/>
      <c r="B52" s="179"/>
      <c r="C52" s="447" t="s">
        <v>83</v>
      </c>
      <c r="D52" s="448"/>
      <c r="E52" s="248">
        <f t="shared" si="1"/>
        <v>1</v>
      </c>
      <c r="F52" s="249" t="str">
        <f>IF(AND(CALCULO!D49&lt;&gt;"", CALCULO!D49&lt;0), CALCULO!D49 * -1, "")</f>
        <v/>
      </c>
      <c r="G52" s="250" t="str">
        <f>IF(AND(CALCULO!E49&lt;&gt;"", CALCULO!E49&lt;0), CALCULO!E49 * -1, "")</f>
        <v/>
      </c>
      <c r="H52" s="249">
        <f>IF(AND(CALCULO!F49&lt;&gt;"", CALCULO!F49&lt;0), CALCULO!F49 * -1, 0)</f>
        <v>0</v>
      </c>
      <c r="I52" s="249">
        <f>IF(AND(CALCULO!G49&lt;&gt;"", CALCULO!G49&lt;0), CALCULO!G49 * -1, 0)</f>
        <v>0</v>
      </c>
      <c r="J52" s="249">
        <f>IF(AND(CALCULO!H49&lt;&gt;"", CALCULO!H49&lt;0), CALCULO!H49 * -1, 0)</f>
        <v>0</v>
      </c>
      <c r="K52" s="249">
        <f>IF(AND(CALCULO!I49&lt;&gt;"", CALCULO!I49&lt;0), CALCULO!I49 * -1, 0)</f>
        <v>0</v>
      </c>
      <c r="L52" s="249">
        <f>IF(AND(CALCULO!J49&lt;&gt;"", CALCULO!J49&lt;0), CALCULO!J49 * -1, 0)</f>
        <v>0</v>
      </c>
      <c r="M52" s="249">
        <f>IF(AND(CALCULO!K49&lt;&gt;"", CALCULO!K49&lt;0), CALCULO!K49 * -1, 0)</f>
        <v>0</v>
      </c>
      <c r="N52" s="249">
        <f>IF(AND(CALCULO!L49&lt;&gt;"", CALCULO!L49&lt;0), CALCULO!L49 * -1, 0)</f>
        <v>0</v>
      </c>
      <c r="O52" s="249">
        <f>IF(AND(CALCULO!M49&lt;&gt;"", CALCULO!M49&lt;0), CALCULO!M49 * -1, 0)</f>
        <v>0</v>
      </c>
      <c r="P52" s="249">
        <f>IF(AND(CALCULO!N49&lt;&gt;"", CALCULO!N49&lt;0), CALCULO!N49 * -1, 0)</f>
        <v>0</v>
      </c>
      <c r="Q52" s="249">
        <f>IF(AND(CALCULO!O49&lt;&gt;"", CALCULO!O49&lt;0), CALCULO!O49 * -1, 0)</f>
        <v>0</v>
      </c>
      <c r="R52" s="249">
        <f>IF(AND(CALCULO!P49&lt;&gt;"", CALCULO!P49&lt;0), CALCULO!P49 * -1, 0)</f>
        <v>0</v>
      </c>
      <c r="S52" s="249">
        <f>IF(AND(CALCULO!Q49&lt;&gt;"", CALCULO!Q49&lt;0), CALCULO!Q49 * -1, 0)</f>
        <v>0</v>
      </c>
      <c r="T52" s="249">
        <f>IF(AND(CALCULO!R49&lt;&gt;"", CALCULO!R49&lt;0), CALCULO!R49 * -1, 0)</f>
        <v>0</v>
      </c>
      <c r="U52" s="249">
        <f>IF(AND(CALCULO!S49&lt;&gt;"", CALCULO!S49&lt;0), CALCULO!S49 * -1, 0)</f>
        <v>0</v>
      </c>
      <c r="V52" s="249">
        <f>IF(AND(CALCULO!T49&lt;&gt;"", CALCULO!T49&lt;0), CALCULO!T49 * -1, 0)</f>
        <v>0</v>
      </c>
      <c r="W52" s="249">
        <f>IF(AND(CALCULO!U49&lt;&gt;"", CALCULO!U49&lt;0), CALCULO!U49 * -1, 0)</f>
        <v>0</v>
      </c>
      <c r="X52" s="249">
        <f>IF(AND(CALCULO!V49&lt;&gt;"", CALCULO!V49&lt;0), CALCULO!V49 * -1, 0)</f>
        <v>1</v>
      </c>
      <c r="Y52" s="249">
        <f>IF(AND(CALCULO!W49&lt;&gt;"", CALCULO!W49&lt;0), CALCULO!W49 * -1, 0)</f>
        <v>0</v>
      </c>
      <c r="Z52" s="249">
        <f>IF(AND(CALCULO!X49&lt;&gt;"", CALCULO!X49&lt;0), CALCULO!X49 * -1, 0)</f>
        <v>0</v>
      </c>
      <c r="AA52" s="249">
        <f>IF(AND(CALCULO!Y49&lt;&gt;"", CALCULO!Y49&lt;0), CALCULO!Y49 * -1, 0)</f>
        <v>0</v>
      </c>
      <c r="AB52" s="249">
        <f>IF(AND(CALCULO!Z49&lt;&gt;"", CALCULO!Z49&lt;0), CALCULO!Z49 * -1, 0)</f>
        <v>0</v>
      </c>
      <c r="AC52" s="249">
        <f>IF(AND(CALCULO!AA49&lt;&gt;"", CALCULO!AA49&lt;0), CALCULO!AA49 * -1, 0)</f>
        <v>0</v>
      </c>
      <c r="AD52" s="249">
        <f>IF(AND(CALCULO!AB49&lt;&gt;"", CALCULO!AB49&lt;0), CALCULO!AB49 * -1, 0)</f>
        <v>0</v>
      </c>
      <c r="AE52" s="249">
        <f>IF(AND(CALCULO!AC49&lt;&gt;"", CALCULO!AC49&lt;0), CALCULO!AC49 * -1, 0)</f>
        <v>0</v>
      </c>
      <c r="AF52" s="249">
        <f>IF(AND(CALCULO!AD49&lt;&gt;"", CALCULO!AD49&lt;0), CALCULO!AD49 * -1, 0)</f>
        <v>0</v>
      </c>
      <c r="AG52" s="249">
        <f>IF(AND(CALCULO!AE49&lt;&gt;"", CALCULO!AE49&lt;0), CALCULO!AE49 * -1, 0)</f>
        <v>0</v>
      </c>
      <c r="AH52" s="249">
        <f>IF(AND(CALCULO!AF49&lt;&gt;"", CALCULO!AF49&lt;0), CALCULO!AF49 * -1, 0)</f>
        <v>0</v>
      </c>
      <c r="AI52" s="249">
        <f>IF(AND(CALCULO!AG49&lt;&gt;"", CALCULO!AG49&lt;0), CALCULO!AG49 * -1, 0)</f>
        <v>0</v>
      </c>
      <c r="AJ52" s="249">
        <f>IF(AND(CALCULO!AH49&lt;&gt;"", CALCULO!AH49&lt;0), CALCULO!AH49 * -1, 0)</f>
        <v>0</v>
      </c>
      <c r="AK52" s="249">
        <f>IF(AND(CALCULO!AI49&lt;&gt;"", CALCULO!AI49&lt;0), CALCULO!AI49 * -1, 0)</f>
        <v>0</v>
      </c>
      <c r="AL52" s="249">
        <f>IF(AND(CALCULO!AJ49&lt;&gt;"", CALCULO!AJ49&lt;0), CALCULO!AJ49 * -1, 0)</f>
        <v>0</v>
      </c>
      <c r="AM52" s="249">
        <f>IF(AND(CALCULO!AK49&lt;&gt;"", CALCULO!AK49&lt;0), CALCULO!AK49 * -1, 0)</f>
        <v>0</v>
      </c>
      <c r="AN52" s="249">
        <f>IF(AND(CALCULO!AL49&lt;&gt;"", CALCULO!AL49&lt;0), CALCULO!AL49 * -1, 0)</f>
        <v>0</v>
      </c>
      <c r="AO52" s="249">
        <f>IF(AND(CALCULO!AM49&lt;&gt;"", CALCULO!AM49&lt;0), CALCULO!AM49 * -1, 0)</f>
        <v>0</v>
      </c>
      <c r="AP52" s="321">
        <v>0</v>
      </c>
      <c r="AQ52" s="321">
        <f>+ALTAS!D52</f>
        <v>0</v>
      </c>
      <c r="AR52" s="321">
        <f>+ALTAS!E52</f>
        <v>0</v>
      </c>
      <c r="AS52" s="212">
        <f>IF(AND(CALCULO!AN49&lt;&gt;"", CALCULO!AN49&lt;0), CALCULO!AN49 * -1, 0)</f>
        <v>1</v>
      </c>
      <c r="AT52" s="212">
        <f>IF(AND(CALCULO!AO49&lt;&gt;"", CALCULO!AO49&lt;0), CALCULO!AO49 * -1, 0)</f>
        <v>0</v>
      </c>
      <c r="AU52" s="212">
        <f>IF(AND(CALCULO!AP49&lt;&gt;"", CALCULO!AP49&lt;0), CALCULO!AP49 * -1, 0)</f>
        <v>0</v>
      </c>
      <c r="AV52" s="212">
        <f>IF(AND(CALCULO!AQ49&lt;&gt;"", CALCULO!AQ49&lt;0), CALCULO!AQ49 * -1, 0)</f>
        <v>0</v>
      </c>
      <c r="AW52" s="212">
        <f>IF(AND(CALCULO!AT49&lt;&gt;"", CALCULO!AT49&lt;0), CALCULO!AT49 * -1, 0)</f>
        <v>0</v>
      </c>
      <c r="AX52" s="212">
        <f>IF(AND(CALCULO!AU49&lt;&gt;"", CALCULO!AU49&lt;0), CALCULO!AU49 * -1, 0)</f>
        <v>0</v>
      </c>
      <c r="AY52" s="212">
        <f t="shared" si="2"/>
        <v>0</v>
      </c>
      <c r="AZ52" s="146">
        <f t="shared" si="3"/>
        <v>0</v>
      </c>
      <c r="BB52" s="181">
        <f>IF(AND(CALCULO!AR48&lt;&gt;"", CALCULO!AR48&lt;0), CALCULO!AR48 * -1, 0)</f>
        <v>0</v>
      </c>
      <c r="BC52" s="181">
        <f>IF(AND(CALCULO!AS48&lt;&gt;"", CALCULO!AS48&lt;0), CALCULO!AS48 * -1, 0)</f>
        <v>0</v>
      </c>
      <c r="BG52" s="146">
        <f>IF(AND(CALCULO!AW48&lt;&gt;"", CALCULO!AW48&lt;0), CALCULO!WP48 * -1, 0)</f>
        <v>0</v>
      </c>
      <c r="BH52">
        <f>IF(AND(CALCULO!AX48&lt;&gt;"", CALCULO!AX48&lt;0), CALCULO!AX48 * -1, 0)</f>
        <v>0</v>
      </c>
    </row>
    <row r="53" spans="1:60" ht="15.75" thickBot="1" x14ac:dyDescent="0.3">
      <c r="A53" s="376"/>
      <c r="B53" s="226"/>
      <c r="C53" s="224"/>
      <c r="D53" s="224"/>
      <c r="AP53" s="230"/>
      <c r="AQ53" s="230"/>
      <c r="AR53" s="230"/>
      <c r="BB53" s="181"/>
      <c r="BC53" s="181"/>
      <c r="BG53" s="146">
        <f>IF(AND(CALCULO!AW49&lt;&gt;"", CALCULO!AW49&lt;0), CALCULO!WP49 * -1, 0)</f>
        <v>0</v>
      </c>
      <c r="BH53">
        <f>IF(AND(CALCULO!AX49&lt;&gt;"", CALCULO!AX49&lt;0), CALCULO!AX49 * -1, 0)</f>
        <v>0</v>
      </c>
    </row>
    <row r="54" spans="1:60" x14ac:dyDescent="0.25">
      <c r="A54" s="377"/>
      <c r="B54" s="378"/>
      <c r="C54" s="234"/>
      <c r="D54" s="234"/>
      <c r="AP54" s="230"/>
      <c r="AQ54" s="230"/>
      <c r="AR54" s="230"/>
      <c r="BB54" s="181"/>
      <c r="BC54" s="181"/>
      <c r="BG54" s="146">
        <f>IF(AND(CALCULO!AW50&lt;&gt;"", CALCULO!AW50&lt;0), CALCULO!WP50 * -1, 0)</f>
        <v>0</v>
      </c>
      <c r="BH54">
        <f>IF(AND(CALCULO!AX50&lt;&gt;"", CALCULO!AX50&lt;0), CALCULO!AX50 * -1, 0)</f>
        <v>0</v>
      </c>
    </row>
    <row r="55" spans="1:60" ht="15.75" thickBot="1" x14ac:dyDescent="0.3">
      <c r="A55" s="379"/>
      <c r="B55" s="380"/>
      <c r="C55" s="224"/>
      <c r="D55" s="224"/>
      <c r="AP55" s="230"/>
      <c r="AQ55" s="230"/>
      <c r="AR55" s="230"/>
      <c r="BB55" s="181"/>
      <c r="BC55" s="181"/>
      <c r="BG55" s="146">
        <f>IF(AND(CALCULO!AW51&lt;&gt;"", CALCULO!AW51&lt;0), CALCULO!WP51 * -1, 0)</f>
        <v>0</v>
      </c>
      <c r="BH55">
        <f>IF(AND(CALCULO!AX51&lt;&gt;"", CALCULO!AX51&lt;0), CALCULO!AX51 * -1, 0)</f>
        <v>0</v>
      </c>
    </row>
    <row r="56" spans="1:60" x14ac:dyDescent="0.25">
      <c r="BB56" s="181"/>
      <c r="BC56" s="181"/>
      <c r="BG56" s="146">
        <f>IF(AND(CALCULO!AW52&lt;&gt;"", CALCULO!AW52&lt;0), CALCULO!WP52 * -1, 0)</f>
        <v>0</v>
      </c>
      <c r="BH56">
        <f>IF(AND(CALCULO!AX52&lt;&gt;"", CALCULO!AX52&lt;0), CALCULO!AX52 * -1, 0)</f>
        <v>0</v>
      </c>
    </row>
  </sheetData>
  <mergeCells count="65">
    <mergeCell ref="C52:D52"/>
    <mergeCell ref="C41:D41"/>
    <mergeCell ref="C43:D43"/>
    <mergeCell ref="C44:D44"/>
    <mergeCell ref="C45:D45"/>
    <mergeCell ref="C46:C50"/>
    <mergeCell ref="C16:C20"/>
    <mergeCell ref="C24:C28"/>
    <mergeCell ref="C29:C32"/>
    <mergeCell ref="C33:C37"/>
    <mergeCell ref="C38:C40"/>
    <mergeCell ref="BG2:BH3"/>
    <mergeCell ref="C6:C7"/>
    <mergeCell ref="C12:D12"/>
    <mergeCell ref="C13:C14"/>
    <mergeCell ref="C15:D15"/>
    <mergeCell ref="N2:O2"/>
    <mergeCell ref="BB2:BC3"/>
    <mergeCell ref="BD2:BD4"/>
    <mergeCell ref="BE2:BE4"/>
    <mergeCell ref="BF2:BF4"/>
    <mergeCell ref="C2:D3"/>
    <mergeCell ref="E2:G2"/>
    <mergeCell ref="H2:I2"/>
    <mergeCell ref="J2:K2"/>
    <mergeCell ref="L2:M2"/>
    <mergeCell ref="AH2:AI2"/>
    <mergeCell ref="AJ2:AK2"/>
    <mergeCell ref="AL2:AM2"/>
    <mergeCell ref="P2:Q2"/>
    <mergeCell ref="R2:S2"/>
    <mergeCell ref="T2:U2"/>
    <mergeCell ref="V2:W2"/>
    <mergeCell ref="X2:Y2"/>
    <mergeCell ref="Z2:AA2"/>
    <mergeCell ref="A36:A40"/>
    <mergeCell ref="AX2:AX3"/>
    <mergeCell ref="AY2:AY3"/>
    <mergeCell ref="AZ2:AZ3"/>
    <mergeCell ref="C4:D4"/>
    <mergeCell ref="C5:D5"/>
    <mergeCell ref="A6:A7"/>
    <mergeCell ref="AN2:AO2"/>
    <mergeCell ref="AP2:AR2"/>
    <mergeCell ref="AS2:AS3"/>
    <mergeCell ref="AT2:AT3"/>
    <mergeCell ref="AU2:AV2"/>
    <mergeCell ref="AW2:AW3"/>
    <mergeCell ref="AB2:AC2"/>
    <mergeCell ref="AD2:AE2"/>
    <mergeCell ref="AF2:AG2"/>
    <mergeCell ref="A12:B12"/>
    <mergeCell ref="A13:A14"/>
    <mergeCell ref="A16:A26"/>
    <mergeCell ref="A27:A31"/>
    <mergeCell ref="A32:A35"/>
    <mergeCell ref="A49:A53"/>
    <mergeCell ref="A54:B54"/>
    <mergeCell ref="A55:B55"/>
    <mergeCell ref="A41:A43"/>
    <mergeCell ref="A44:B44"/>
    <mergeCell ref="A45:B45"/>
    <mergeCell ref="A46:B46"/>
    <mergeCell ref="A47:B47"/>
    <mergeCell ref="A48:B4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C15E-6C2C-4CEF-9B69-7DC5126EDFAA}">
  <dimension ref="A1:AX51"/>
  <sheetViews>
    <sheetView topLeftCell="A22" workbookViewId="0">
      <selection activeCell="C15" sqref="C15"/>
    </sheetView>
  </sheetViews>
  <sheetFormatPr baseColWidth="10" defaultRowHeight="15" x14ac:dyDescent="0.25"/>
  <sheetData>
    <row r="1" spans="1:50" x14ac:dyDescent="0.25">
      <c r="A1" s="433" t="s">
        <v>157</v>
      </c>
      <c r="B1" s="536"/>
      <c r="C1" s="537" t="s">
        <v>158</v>
      </c>
      <c r="D1" s="537"/>
      <c r="E1" s="537"/>
      <c r="F1" s="537" t="s">
        <v>159</v>
      </c>
      <c r="G1" s="537"/>
      <c r="H1" s="537" t="s">
        <v>160</v>
      </c>
      <c r="I1" s="537"/>
      <c r="J1" s="537" t="s">
        <v>161</v>
      </c>
      <c r="K1" s="537"/>
      <c r="L1" s="537" t="s">
        <v>162</v>
      </c>
      <c r="M1" s="537"/>
      <c r="N1" s="534" t="s">
        <v>163</v>
      </c>
      <c r="O1" s="535"/>
      <c r="P1" s="538" t="s">
        <v>164</v>
      </c>
      <c r="Q1" s="538"/>
      <c r="R1" s="538" t="s">
        <v>165</v>
      </c>
      <c r="S1" s="538"/>
      <c r="T1" s="538" t="s">
        <v>166</v>
      </c>
      <c r="U1" s="538"/>
      <c r="V1" s="538" t="s">
        <v>167</v>
      </c>
      <c r="W1" s="538"/>
      <c r="X1" s="538" t="s">
        <v>168</v>
      </c>
      <c r="Y1" s="538"/>
      <c r="Z1" s="538" t="s">
        <v>169</v>
      </c>
      <c r="AA1" s="538"/>
      <c r="AB1" s="538" t="s">
        <v>170</v>
      </c>
      <c r="AC1" s="538"/>
      <c r="AD1" s="538" t="s">
        <v>171</v>
      </c>
      <c r="AE1" s="538"/>
      <c r="AF1" s="538" t="s">
        <v>172</v>
      </c>
      <c r="AG1" s="538"/>
      <c r="AH1" s="538" t="s">
        <v>173</v>
      </c>
      <c r="AI1" s="538"/>
      <c r="AJ1" s="538" t="s">
        <v>174</v>
      </c>
      <c r="AK1" s="538"/>
      <c r="AL1" s="538" t="s">
        <v>27</v>
      </c>
      <c r="AM1" s="532"/>
      <c r="AN1" s="539" t="s">
        <v>175</v>
      </c>
      <c r="AO1" s="540"/>
      <c r="AP1" s="541"/>
      <c r="AQ1" s="542" t="s">
        <v>3</v>
      </c>
      <c r="AR1" s="543" t="s">
        <v>176</v>
      </c>
      <c r="AS1" s="533" t="s">
        <v>5</v>
      </c>
      <c r="AT1" s="538"/>
      <c r="AU1" s="544" t="s">
        <v>200</v>
      </c>
      <c r="AV1" s="536" t="s">
        <v>201</v>
      </c>
      <c r="AW1" s="544" t="s">
        <v>178</v>
      </c>
      <c r="AX1" s="536" t="s">
        <v>179</v>
      </c>
    </row>
    <row r="2" spans="1:50" ht="21" x14ac:dyDescent="0.25">
      <c r="A2" s="435"/>
      <c r="B2" s="545"/>
      <c r="C2" s="546" t="s">
        <v>180</v>
      </c>
      <c r="D2" s="168" t="s">
        <v>29</v>
      </c>
      <c r="E2" s="169" t="s">
        <v>30</v>
      </c>
      <c r="F2" s="170" t="s">
        <v>29</v>
      </c>
      <c r="G2" s="169" t="s">
        <v>30</v>
      </c>
      <c r="H2" s="170" t="s">
        <v>29</v>
      </c>
      <c r="I2" s="169" t="s">
        <v>30</v>
      </c>
      <c r="J2" s="170" t="s">
        <v>29</v>
      </c>
      <c r="K2" s="169" t="s">
        <v>30</v>
      </c>
      <c r="L2" s="170" t="s">
        <v>29</v>
      </c>
      <c r="M2" s="169" t="s">
        <v>30</v>
      </c>
      <c r="N2" s="170" t="s">
        <v>29</v>
      </c>
      <c r="O2" s="169" t="s">
        <v>30</v>
      </c>
      <c r="P2" s="170" t="s">
        <v>29</v>
      </c>
      <c r="Q2" s="169" t="s">
        <v>30</v>
      </c>
      <c r="R2" s="170" t="s">
        <v>29</v>
      </c>
      <c r="S2" s="169" t="s">
        <v>30</v>
      </c>
      <c r="T2" s="170" t="s">
        <v>29</v>
      </c>
      <c r="U2" s="169" t="s">
        <v>30</v>
      </c>
      <c r="V2" s="170" t="s">
        <v>29</v>
      </c>
      <c r="W2" s="169" t="s">
        <v>30</v>
      </c>
      <c r="X2" s="170" t="s">
        <v>29</v>
      </c>
      <c r="Y2" s="169" t="s">
        <v>30</v>
      </c>
      <c r="Z2" s="170" t="s">
        <v>29</v>
      </c>
      <c r="AA2" s="169" t="s">
        <v>30</v>
      </c>
      <c r="AB2" s="170" t="s">
        <v>29</v>
      </c>
      <c r="AC2" s="169" t="s">
        <v>30</v>
      </c>
      <c r="AD2" s="170" t="s">
        <v>29</v>
      </c>
      <c r="AE2" s="169" t="s">
        <v>30</v>
      </c>
      <c r="AF2" s="170" t="s">
        <v>29</v>
      </c>
      <c r="AG2" s="169" t="s">
        <v>30</v>
      </c>
      <c r="AH2" s="170" t="s">
        <v>29</v>
      </c>
      <c r="AI2" s="169" t="s">
        <v>30</v>
      </c>
      <c r="AJ2" s="170" t="s">
        <v>29</v>
      </c>
      <c r="AK2" s="169" t="s">
        <v>30</v>
      </c>
      <c r="AL2" s="170" t="s">
        <v>29</v>
      </c>
      <c r="AM2" s="547" t="s">
        <v>30</v>
      </c>
      <c r="AN2" s="548" t="s">
        <v>181</v>
      </c>
      <c r="AO2" s="549" t="s">
        <v>182</v>
      </c>
      <c r="AP2" s="550" t="s">
        <v>183</v>
      </c>
      <c r="AQ2" s="551"/>
      <c r="AR2" s="552"/>
      <c r="AS2" s="168" t="s">
        <v>29</v>
      </c>
      <c r="AT2" s="169" t="s">
        <v>30</v>
      </c>
      <c r="AU2" s="553"/>
      <c r="AV2" s="545"/>
      <c r="AW2" s="553"/>
      <c r="AX2" s="545"/>
    </row>
    <row r="3" spans="1:50" x14ac:dyDescent="0.25">
      <c r="A3" s="399" t="s">
        <v>184</v>
      </c>
      <c r="B3" s="554"/>
      <c r="C3" s="555">
        <f>SUM(D3+E3)</f>
        <v>0</v>
      </c>
      <c r="D3" s="556">
        <f>SUM(F3+H3+J3+L3+N3+P3+R3+T3+V3+X3+Z3+AB3+AD3+AF3+AH3+AJ3+AL3)</f>
        <v>0</v>
      </c>
      <c r="E3" s="557">
        <f>SUM(G3+I3+K3+M3+O3+Q3+S3+U3+W3+Y3+AA3+AC3+AE3+AG3+AI3+AK3+AM3)</f>
        <v>0</v>
      </c>
      <c r="F3" s="558"/>
      <c r="G3" s="559"/>
      <c r="H3" s="558"/>
      <c r="I3" s="559"/>
      <c r="J3" s="558"/>
      <c r="K3" s="559"/>
      <c r="L3" s="558"/>
      <c r="M3" s="559"/>
      <c r="N3" s="558"/>
      <c r="O3" s="559"/>
      <c r="P3" s="558"/>
      <c r="Q3" s="559"/>
      <c r="R3" s="558"/>
      <c r="S3" s="559"/>
      <c r="T3" s="558"/>
      <c r="U3" s="559"/>
      <c r="V3" s="558"/>
      <c r="W3" s="559"/>
      <c r="X3" s="558"/>
      <c r="Y3" s="559"/>
      <c r="Z3" s="558"/>
      <c r="AA3" s="559"/>
      <c r="AB3" s="558"/>
      <c r="AC3" s="559"/>
      <c r="AD3" s="558"/>
      <c r="AE3" s="559"/>
      <c r="AF3" s="558"/>
      <c r="AG3" s="559"/>
      <c r="AH3" s="558"/>
      <c r="AI3" s="559"/>
      <c r="AJ3" s="558"/>
      <c r="AK3" s="559"/>
      <c r="AL3" s="558"/>
      <c r="AM3" s="560"/>
      <c r="AN3" s="561"/>
      <c r="AO3" s="562"/>
      <c r="AP3" s="563"/>
      <c r="AQ3" s="560"/>
      <c r="AR3" s="564"/>
      <c r="AS3" s="565"/>
      <c r="AT3" s="559"/>
      <c r="AU3" s="565"/>
      <c r="AV3" s="559"/>
      <c r="AW3" s="558"/>
      <c r="AX3" s="559"/>
    </row>
    <row r="4" spans="1:50" x14ac:dyDescent="0.25">
      <c r="A4" s="566" t="s">
        <v>35</v>
      </c>
      <c r="B4" s="567"/>
      <c r="C4" s="568"/>
      <c r="D4" s="569"/>
      <c r="E4" s="569"/>
      <c r="F4" s="570"/>
      <c r="G4" s="570"/>
      <c r="H4" s="570"/>
      <c r="I4" s="570"/>
      <c r="J4" s="570"/>
      <c r="K4" s="570"/>
      <c r="L4" s="570"/>
      <c r="M4" s="570"/>
      <c r="N4" s="570"/>
      <c r="O4" s="570"/>
      <c r="P4" s="570"/>
      <c r="Q4" s="570"/>
      <c r="R4" s="570"/>
      <c r="S4" s="570"/>
      <c r="T4" s="570"/>
      <c r="U4" s="570"/>
      <c r="V4" s="570"/>
      <c r="W4" s="570"/>
      <c r="X4" s="570"/>
      <c r="Y4" s="570"/>
      <c r="Z4" s="570"/>
      <c r="AA4" s="570"/>
      <c r="AB4" s="570"/>
      <c r="AC4" s="570"/>
      <c r="AD4" s="570"/>
      <c r="AE4" s="570"/>
      <c r="AF4" s="570"/>
      <c r="AG4" s="570"/>
      <c r="AH4" s="570"/>
      <c r="AI4" s="570"/>
      <c r="AJ4" s="570"/>
      <c r="AK4" s="570"/>
      <c r="AL4" s="570"/>
      <c r="AM4" s="571"/>
      <c r="AN4" s="571"/>
      <c r="AO4" s="571"/>
      <c r="AP4" s="572"/>
      <c r="AQ4" s="571"/>
      <c r="AR4" s="573"/>
      <c r="AS4" s="571"/>
      <c r="AT4" s="571"/>
      <c r="AU4" s="571"/>
      <c r="AV4" s="571"/>
      <c r="AW4" s="571"/>
      <c r="AX4" s="574"/>
    </row>
    <row r="5" spans="1:50" x14ac:dyDescent="0.25">
      <c r="A5" s="575" t="s">
        <v>202</v>
      </c>
      <c r="B5" s="171" t="s">
        <v>203</v>
      </c>
      <c r="C5" s="576">
        <f t="shared" ref="C5:C8" si="0">SUM(D5+E5)</f>
        <v>0</v>
      </c>
      <c r="D5" s="577">
        <f t="shared" ref="D5:E17" si="1">SUM(F5+H5+J5+L5+N5+P5+R5+T5+V5+X5+Z5+AB5+AD5+AF5+AH5+AJ5+AL5)</f>
        <v>0</v>
      </c>
      <c r="E5" s="171">
        <f>SUM(G5+I5+K5+M5+O5+Q5+S5+U5+W5+Y5+AA5+AC5+AE5+AG5+AI5+AK5+AM5)</f>
        <v>0</v>
      </c>
      <c r="F5" s="578">
        <v>0</v>
      </c>
      <c r="G5" s="579">
        <v>0</v>
      </c>
      <c r="H5" s="558"/>
      <c r="I5" s="559"/>
      <c r="J5" s="558"/>
      <c r="K5" s="559"/>
      <c r="L5" s="558"/>
      <c r="M5" s="559"/>
      <c r="N5" s="558"/>
      <c r="O5" s="559"/>
      <c r="P5" s="558"/>
      <c r="Q5" s="559"/>
      <c r="R5" s="558"/>
      <c r="S5" s="559"/>
      <c r="T5" s="558"/>
      <c r="U5" s="559"/>
      <c r="V5" s="558"/>
      <c r="W5" s="559"/>
      <c r="X5" s="558"/>
      <c r="Y5" s="559"/>
      <c r="Z5" s="558"/>
      <c r="AA5" s="559"/>
      <c r="AB5" s="558"/>
      <c r="AC5" s="559"/>
      <c r="AD5" s="558"/>
      <c r="AE5" s="559"/>
      <c r="AF5" s="558"/>
      <c r="AG5" s="559"/>
      <c r="AH5" s="558"/>
      <c r="AI5" s="559"/>
      <c r="AJ5" s="558"/>
      <c r="AK5" s="559"/>
      <c r="AL5" s="558"/>
      <c r="AM5" s="560"/>
      <c r="AN5" s="561">
        <v>0</v>
      </c>
      <c r="AO5" s="562"/>
      <c r="AP5" s="563"/>
      <c r="AQ5" s="560">
        <v>0</v>
      </c>
      <c r="AR5" s="564">
        <v>0</v>
      </c>
      <c r="AS5" s="565">
        <v>0</v>
      </c>
      <c r="AT5" s="559">
        <v>0</v>
      </c>
      <c r="AU5" s="565">
        <v>0</v>
      </c>
      <c r="AV5" s="559">
        <v>0</v>
      </c>
      <c r="AW5" s="558">
        <v>0</v>
      </c>
      <c r="AX5" s="559">
        <v>0</v>
      </c>
    </row>
    <row r="6" spans="1:50" x14ac:dyDescent="0.25">
      <c r="A6" s="580"/>
      <c r="B6" s="172" t="s">
        <v>204</v>
      </c>
      <c r="C6" s="581">
        <f t="shared" si="0"/>
        <v>0</v>
      </c>
      <c r="D6" s="582">
        <f t="shared" si="1"/>
        <v>0</v>
      </c>
      <c r="E6" s="583">
        <f t="shared" si="1"/>
        <v>0</v>
      </c>
      <c r="F6" s="584">
        <v>0</v>
      </c>
      <c r="G6" s="585">
        <v>0</v>
      </c>
      <c r="H6" s="584"/>
      <c r="I6" s="585"/>
      <c r="J6" s="584"/>
      <c r="K6" s="585"/>
      <c r="L6" s="584"/>
      <c r="M6" s="585"/>
      <c r="N6" s="584"/>
      <c r="O6" s="585"/>
      <c r="P6" s="584"/>
      <c r="Q6" s="585"/>
      <c r="R6" s="584"/>
      <c r="S6" s="585"/>
      <c r="T6" s="584"/>
      <c r="U6" s="585"/>
      <c r="V6" s="584"/>
      <c r="W6" s="585"/>
      <c r="X6" s="584"/>
      <c r="Y6" s="585"/>
      <c r="Z6" s="584"/>
      <c r="AA6" s="585"/>
      <c r="AB6" s="584"/>
      <c r="AC6" s="585"/>
      <c r="AD6" s="584"/>
      <c r="AE6" s="585"/>
      <c r="AF6" s="584"/>
      <c r="AG6" s="585"/>
      <c r="AH6" s="584"/>
      <c r="AI6" s="585"/>
      <c r="AJ6" s="584"/>
      <c r="AK6" s="585"/>
      <c r="AL6" s="584"/>
      <c r="AM6" s="586"/>
      <c r="AN6" s="587">
        <v>0</v>
      </c>
      <c r="AO6" s="588"/>
      <c r="AP6" s="589"/>
      <c r="AQ6" s="590">
        <v>0</v>
      </c>
      <c r="AR6" s="591">
        <v>0</v>
      </c>
      <c r="AS6" s="562">
        <v>0</v>
      </c>
      <c r="AT6" s="592">
        <v>0</v>
      </c>
      <c r="AU6" s="562">
        <v>0</v>
      </c>
      <c r="AV6" s="592">
        <v>0</v>
      </c>
      <c r="AW6" s="562">
        <v>0</v>
      </c>
      <c r="AX6" s="592">
        <v>0</v>
      </c>
    </row>
    <row r="7" spans="1:50" x14ac:dyDescent="0.25">
      <c r="A7" s="575" t="s">
        <v>205</v>
      </c>
      <c r="B7" s="171" t="s">
        <v>203</v>
      </c>
      <c r="C7" s="576">
        <f t="shared" si="0"/>
        <v>0</v>
      </c>
      <c r="D7" s="577">
        <f t="shared" si="1"/>
        <v>0</v>
      </c>
      <c r="E7" s="171">
        <f t="shared" si="1"/>
        <v>0</v>
      </c>
      <c r="F7" s="578">
        <v>0</v>
      </c>
      <c r="G7" s="579">
        <v>0</v>
      </c>
      <c r="H7" s="578"/>
      <c r="I7" s="579"/>
      <c r="J7" s="578"/>
      <c r="K7" s="579"/>
      <c r="L7" s="578"/>
      <c r="M7" s="579"/>
      <c r="N7" s="578"/>
      <c r="O7" s="579"/>
      <c r="P7" s="578"/>
      <c r="Q7" s="579"/>
      <c r="R7" s="578"/>
      <c r="S7" s="579"/>
      <c r="T7" s="578"/>
      <c r="U7" s="579"/>
      <c r="V7" s="578"/>
      <c r="W7" s="579"/>
      <c r="X7" s="578"/>
      <c r="Y7" s="579"/>
      <c r="Z7" s="578"/>
      <c r="AA7" s="579"/>
      <c r="AB7" s="578"/>
      <c r="AC7" s="579"/>
      <c r="AD7" s="578"/>
      <c r="AE7" s="579"/>
      <c r="AF7" s="578"/>
      <c r="AG7" s="579"/>
      <c r="AH7" s="578"/>
      <c r="AI7" s="579"/>
      <c r="AJ7" s="578"/>
      <c r="AK7" s="579"/>
      <c r="AL7" s="578"/>
      <c r="AM7" s="593"/>
      <c r="AN7" s="594">
        <v>0</v>
      </c>
      <c r="AO7" s="595"/>
      <c r="AP7" s="596"/>
      <c r="AQ7" s="593">
        <v>0</v>
      </c>
      <c r="AR7" s="597">
        <v>0</v>
      </c>
      <c r="AS7" s="595">
        <v>0</v>
      </c>
      <c r="AT7" s="579">
        <v>0</v>
      </c>
      <c r="AU7" s="595">
        <v>0</v>
      </c>
      <c r="AV7" s="579">
        <v>0</v>
      </c>
      <c r="AW7" s="595">
        <v>0</v>
      </c>
      <c r="AX7" s="579">
        <v>0</v>
      </c>
    </row>
    <row r="8" spans="1:50" x14ac:dyDescent="0.25">
      <c r="A8" s="580"/>
      <c r="B8" s="172" t="s">
        <v>204</v>
      </c>
      <c r="C8" s="581">
        <f t="shared" si="0"/>
        <v>0</v>
      </c>
      <c r="D8" s="582">
        <f t="shared" si="1"/>
        <v>0</v>
      </c>
      <c r="E8" s="583">
        <f t="shared" si="1"/>
        <v>0</v>
      </c>
      <c r="F8" s="584">
        <v>0</v>
      </c>
      <c r="G8" s="585">
        <v>0</v>
      </c>
      <c r="H8" s="584"/>
      <c r="I8" s="585"/>
      <c r="J8" s="584"/>
      <c r="K8" s="585"/>
      <c r="L8" s="584"/>
      <c r="M8" s="585"/>
      <c r="N8" s="584"/>
      <c r="O8" s="585"/>
      <c r="P8" s="584"/>
      <c r="Q8" s="585"/>
      <c r="R8" s="584"/>
      <c r="S8" s="585"/>
      <c r="T8" s="584"/>
      <c r="U8" s="585"/>
      <c r="V8" s="584"/>
      <c r="W8" s="585"/>
      <c r="X8" s="584"/>
      <c r="Y8" s="585"/>
      <c r="Z8" s="584"/>
      <c r="AA8" s="585"/>
      <c r="AB8" s="584"/>
      <c r="AC8" s="585"/>
      <c r="AD8" s="584"/>
      <c r="AE8" s="585"/>
      <c r="AF8" s="584"/>
      <c r="AG8" s="585"/>
      <c r="AH8" s="584"/>
      <c r="AI8" s="585"/>
      <c r="AJ8" s="584"/>
      <c r="AK8" s="585"/>
      <c r="AL8" s="584"/>
      <c r="AM8" s="586"/>
      <c r="AN8" s="587">
        <v>0</v>
      </c>
      <c r="AO8" s="588"/>
      <c r="AP8" s="589"/>
      <c r="AQ8" s="590">
        <v>0</v>
      </c>
      <c r="AR8" s="591">
        <v>0</v>
      </c>
      <c r="AS8" s="562">
        <v>0</v>
      </c>
      <c r="AT8" s="592">
        <v>0</v>
      </c>
      <c r="AU8" s="562">
        <v>0</v>
      </c>
      <c r="AV8" s="592">
        <v>0</v>
      </c>
      <c r="AW8" s="562">
        <v>0</v>
      </c>
      <c r="AX8" s="592">
        <v>0</v>
      </c>
    </row>
    <row r="9" spans="1:50" x14ac:dyDescent="0.25">
      <c r="A9" s="575" t="s">
        <v>206</v>
      </c>
      <c r="B9" s="171" t="s">
        <v>203</v>
      </c>
      <c r="C9" s="576">
        <f>SUM(D9+E9)</f>
        <v>0</v>
      </c>
      <c r="D9" s="577">
        <f t="shared" si="1"/>
        <v>0</v>
      </c>
      <c r="E9" s="171">
        <f t="shared" si="1"/>
        <v>0</v>
      </c>
      <c r="F9" s="578">
        <v>0</v>
      </c>
      <c r="G9" s="579">
        <v>0</v>
      </c>
      <c r="H9" s="578"/>
      <c r="I9" s="579"/>
      <c r="J9" s="578"/>
      <c r="K9" s="579"/>
      <c r="L9" s="578"/>
      <c r="M9" s="579"/>
      <c r="N9" s="578"/>
      <c r="O9" s="579"/>
      <c r="P9" s="578"/>
      <c r="Q9" s="579"/>
      <c r="R9" s="578"/>
      <c r="S9" s="579"/>
      <c r="T9" s="578"/>
      <c r="U9" s="579"/>
      <c r="V9" s="578"/>
      <c r="W9" s="579"/>
      <c r="X9" s="578"/>
      <c r="Y9" s="579"/>
      <c r="Z9" s="578"/>
      <c r="AA9" s="579"/>
      <c r="AB9" s="578"/>
      <c r="AC9" s="579"/>
      <c r="AD9" s="578"/>
      <c r="AE9" s="579"/>
      <c r="AF9" s="578"/>
      <c r="AG9" s="579"/>
      <c r="AH9" s="578"/>
      <c r="AI9" s="579"/>
      <c r="AJ9" s="578"/>
      <c r="AK9" s="579"/>
      <c r="AL9" s="578"/>
      <c r="AM9" s="593"/>
      <c r="AN9" s="594">
        <v>0</v>
      </c>
      <c r="AO9" s="595"/>
      <c r="AP9" s="596"/>
      <c r="AQ9" s="593">
        <v>0</v>
      </c>
      <c r="AR9" s="597">
        <v>0</v>
      </c>
      <c r="AS9" s="595">
        <v>0</v>
      </c>
      <c r="AT9" s="579">
        <v>0</v>
      </c>
      <c r="AU9" s="595">
        <v>0</v>
      </c>
      <c r="AV9" s="579">
        <v>0</v>
      </c>
      <c r="AW9" s="595">
        <v>0</v>
      </c>
      <c r="AX9" s="579">
        <v>0</v>
      </c>
    </row>
    <row r="10" spans="1:50" x14ac:dyDescent="0.25">
      <c r="A10" s="580"/>
      <c r="B10" s="172" t="s">
        <v>204</v>
      </c>
      <c r="C10" s="598">
        <f>SUM(D10+E10)</f>
        <v>0</v>
      </c>
      <c r="D10" s="599">
        <f t="shared" si="1"/>
        <v>0</v>
      </c>
      <c r="E10" s="172">
        <f t="shared" si="1"/>
        <v>0</v>
      </c>
      <c r="F10" s="600">
        <v>0</v>
      </c>
      <c r="G10" s="601">
        <v>0</v>
      </c>
      <c r="H10" s="600"/>
      <c r="I10" s="601"/>
      <c r="J10" s="600"/>
      <c r="K10" s="601"/>
      <c r="L10" s="600"/>
      <c r="M10" s="601"/>
      <c r="N10" s="600"/>
      <c r="O10" s="601"/>
      <c r="P10" s="600"/>
      <c r="Q10" s="601"/>
      <c r="R10" s="600"/>
      <c r="S10" s="601"/>
      <c r="T10" s="600"/>
      <c r="U10" s="601"/>
      <c r="V10" s="600"/>
      <c r="W10" s="601"/>
      <c r="X10" s="600"/>
      <c r="Y10" s="601"/>
      <c r="Z10" s="600"/>
      <c r="AA10" s="601"/>
      <c r="AB10" s="600"/>
      <c r="AC10" s="601"/>
      <c r="AD10" s="600"/>
      <c r="AE10" s="601"/>
      <c r="AF10" s="600"/>
      <c r="AG10" s="601"/>
      <c r="AH10" s="600"/>
      <c r="AI10" s="601"/>
      <c r="AJ10" s="602"/>
      <c r="AK10" s="603"/>
      <c r="AL10" s="584"/>
      <c r="AM10" s="586"/>
      <c r="AN10" s="587">
        <v>0</v>
      </c>
      <c r="AO10" s="588"/>
      <c r="AP10" s="589"/>
      <c r="AQ10" s="590">
        <v>0</v>
      </c>
      <c r="AR10" s="591">
        <v>0</v>
      </c>
      <c r="AS10" s="562">
        <v>0</v>
      </c>
      <c r="AT10" s="592">
        <v>0</v>
      </c>
      <c r="AU10" s="562">
        <v>0</v>
      </c>
      <c r="AV10" s="592">
        <v>0</v>
      </c>
      <c r="AW10" s="562">
        <v>0</v>
      </c>
      <c r="AX10" s="592">
        <v>0</v>
      </c>
    </row>
    <row r="11" spans="1:50" x14ac:dyDescent="0.25">
      <c r="A11" s="604" t="s">
        <v>207</v>
      </c>
      <c r="B11" s="605"/>
      <c r="C11" s="606"/>
      <c r="D11" s="607"/>
      <c r="E11" s="608"/>
      <c r="F11" s="609"/>
      <c r="G11" s="610"/>
      <c r="H11" s="611"/>
      <c r="I11" s="610"/>
      <c r="J11" s="611"/>
      <c r="K11" s="610"/>
      <c r="L11" s="611"/>
      <c r="M11" s="610"/>
      <c r="N11" s="611"/>
      <c r="O11" s="610"/>
      <c r="P11" s="611"/>
      <c r="Q11" s="610"/>
      <c r="R11" s="611"/>
      <c r="S11" s="610"/>
      <c r="T11" s="611"/>
      <c r="U11" s="610"/>
      <c r="V11" s="611"/>
      <c r="W11" s="610"/>
      <c r="X11" s="611"/>
      <c r="Y11" s="610"/>
      <c r="Z11" s="611"/>
      <c r="AA11" s="610"/>
      <c r="AB11" s="611"/>
      <c r="AC11" s="610"/>
      <c r="AD11" s="611"/>
      <c r="AE11" s="610"/>
      <c r="AF11" s="611"/>
      <c r="AG11" s="610"/>
      <c r="AH11" s="611"/>
      <c r="AI11" s="610"/>
      <c r="AJ11" s="611"/>
      <c r="AK11" s="610"/>
      <c r="AL11" s="612"/>
      <c r="AM11" s="613"/>
      <c r="AN11" s="614"/>
      <c r="AO11" s="615"/>
      <c r="AP11" s="616"/>
      <c r="AQ11" s="617"/>
      <c r="AR11" s="618"/>
      <c r="AS11" s="619"/>
      <c r="AT11" s="610"/>
      <c r="AU11" s="619"/>
      <c r="AV11" s="610"/>
      <c r="AW11" s="619"/>
      <c r="AX11" s="610"/>
    </row>
    <row r="12" spans="1:50" x14ac:dyDescent="0.25">
      <c r="A12" s="575" t="s">
        <v>208</v>
      </c>
      <c r="B12" s="171" t="s">
        <v>209</v>
      </c>
      <c r="C12" s="576">
        <f t="shared" ref="C12:C50" si="2">SUM(D12+E12)</f>
        <v>0</v>
      </c>
      <c r="D12" s="577">
        <f>SUM(H12+J12+L12+N12+P12+R12+T12+V12+X12+Z12+AB12+AD12+AF12+AH12+AJ12+AL12)</f>
        <v>0</v>
      </c>
      <c r="E12" s="171">
        <f>SUM(I12+K12+M12+O12+Q12+S12+U12+W12+Y12+AA12+AC12+AE12+AG12+AI12+AK12+AM12)</f>
        <v>0</v>
      </c>
      <c r="F12" s="612"/>
      <c r="G12" s="620"/>
      <c r="H12" s="578"/>
      <c r="I12" s="579"/>
      <c r="J12" s="578"/>
      <c r="K12" s="579"/>
      <c r="L12" s="578"/>
      <c r="M12" s="579"/>
      <c r="N12" s="578"/>
      <c r="O12" s="579"/>
      <c r="P12" s="578"/>
      <c r="Q12" s="579"/>
      <c r="R12" s="578"/>
      <c r="S12" s="579"/>
      <c r="T12" s="578"/>
      <c r="U12" s="579"/>
      <c r="V12" s="578"/>
      <c r="W12" s="579"/>
      <c r="X12" s="578"/>
      <c r="Y12" s="579"/>
      <c r="Z12" s="578"/>
      <c r="AA12" s="579"/>
      <c r="AB12" s="578"/>
      <c r="AC12" s="579"/>
      <c r="AD12" s="578"/>
      <c r="AE12" s="579"/>
      <c r="AF12" s="578"/>
      <c r="AG12" s="579"/>
      <c r="AH12" s="578"/>
      <c r="AI12" s="579"/>
      <c r="AJ12" s="578"/>
      <c r="AK12" s="579"/>
      <c r="AL12" s="578"/>
      <c r="AM12" s="593"/>
      <c r="AN12" s="594">
        <v>2</v>
      </c>
      <c r="AO12" s="595"/>
      <c r="AP12" s="596"/>
      <c r="AQ12" s="593">
        <v>0</v>
      </c>
      <c r="AR12" s="597">
        <v>0</v>
      </c>
      <c r="AS12" s="595">
        <v>0</v>
      </c>
      <c r="AT12" s="579">
        <v>0</v>
      </c>
      <c r="AU12" s="595">
        <v>0</v>
      </c>
      <c r="AV12" s="579">
        <v>0</v>
      </c>
      <c r="AW12" s="595">
        <v>0</v>
      </c>
      <c r="AX12" s="579">
        <v>0</v>
      </c>
    </row>
    <row r="13" spans="1:50" x14ac:dyDescent="0.25">
      <c r="A13" s="580"/>
      <c r="B13" s="172" t="s">
        <v>210</v>
      </c>
      <c r="C13" s="621">
        <f t="shared" si="2"/>
        <v>0</v>
      </c>
      <c r="D13" s="622">
        <f>SUM(H13+J13+L13+N13+P13+R13+T13+V13+X13+Z13+AB13+AD13+AF13+AH13+AJ13+AL13)</f>
        <v>0</v>
      </c>
      <c r="E13" s="557">
        <f>SUM(I13+K13+M13+O13+Q13+S13+U13+W13+Y13+AA13+AC13+AE13+AG13+AI13+AK13+AM13)</f>
        <v>0</v>
      </c>
      <c r="F13" s="623"/>
      <c r="G13" s="624"/>
      <c r="H13" s="625"/>
      <c r="I13" s="626"/>
      <c r="J13" s="625"/>
      <c r="K13" s="626"/>
      <c r="L13" s="625"/>
      <c r="M13" s="626"/>
      <c r="N13" s="625"/>
      <c r="O13" s="626"/>
      <c r="P13" s="625"/>
      <c r="Q13" s="626"/>
      <c r="R13" s="625"/>
      <c r="S13" s="626"/>
      <c r="T13" s="625"/>
      <c r="U13" s="626"/>
      <c r="V13" s="625"/>
      <c r="W13" s="626"/>
      <c r="X13" s="625"/>
      <c r="Y13" s="626"/>
      <c r="Z13" s="625"/>
      <c r="AA13" s="626"/>
      <c r="AB13" s="625"/>
      <c r="AC13" s="626"/>
      <c r="AD13" s="625"/>
      <c r="AE13" s="626"/>
      <c r="AF13" s="625"/>
      <c r="AG13" s="626"/>
      <c r="AH13" s="625"/>
      <c r="AI13" s="626"/>
      <c r="AJ13" s="627"/>
      <c r="AK13" s="592"/>
      <c r="AL13" s="584"/>
      <c r="AM13" s="586"/>
      <c r="AN13" s="587">
        <v>2</v>
      </c>
      <c r="AO13" s="588"/>
      <c r="AP13" s="589"/>
      <c r="AQ13" s="590">
        <v>0</v>
      </c>
      <c r="AR13" s="591">
        <v>0</v>
      </c>
      <c r="AS13" s="562">
        <v>0</v>
      </c>
      <c r="AT13" s="592">
        <v>0</v>
      </c>
      <c r="AU13" s="562">
        <v>0</v>
      </c>
      <c r="AV13" s="592">
        <v>0</v>
      </c>
      <c r="AW13" s="562">
        <v>0</v>
      </c>
      <c r="AX13" s="592">
        <v>0</v>
      </c>
    </row>
    <row r="14" spans="1:50" x14ac:dyDescent="0.25">
      <c r="A14" s="372" t="s">
        <v>211</v>
      </c>
      <c r="B14" s="373"/>
      <c r="C14" s="628">
        <f t="shared" si="2"/>
        <v>0</v>
      </c>
      <c r="D14" s="629">
        <f t="shared" si="1"/>
        <v>0</v>
      </c>
      <c r="E14" s="630">
        <f t="shared" si="1"/>
        <v>0</v>
      </c>
      <c r="F14" s="631"/>
      <c r="G14" s="632"/>
      <c r="H14" s="631"/>
      <c r="I14" s="632"/>
      <c r="J14" s="631"/>
      <c r="K14" s="632"/>
      <c r="L14" s="631"/>
      <c r="M14" s="632"/>
      <c r="N14" s="631"/>
      <c r="O14" s="632"/>
      <c r="P14" s="631"/>
      <c r="Q14" s="632"/>
      <c r="R14" s="631"/>
      <c r="S14" s="632"/>
      <c r="T14" s="631"/>
      <c r="U14" s="632"/>
      <c r="V14" s="631"/>
      <c r="W14" s="632"/>
      <c r="X14" s="631"/>
      <c r="Y14" s="632"/>
      <c r="Z14" s="631"/>
      <c r="AA14" s="632"/>
      <c r="AB14" s="631"/>
      <c r="AC14" s="632"/>
      <c r="AD14" s="631"/>
      <c r="AE14" s="632"/>
      <c r="AF14" s="631"/>
      <c r="AG14" s="632"/>
      <c r="AH14" s="631"/>
      <c r="AI14" s="632"/>
      <c r="AJ14" s="631"/>
      <c r="AK14" s="632"/>
      <c r="AL14" s="578"/>
      <c r="AM14" s="593"/>
      <c r="AN14" s="594"/>
      <c r="AO14" s="595"/>
      <c r="AP14" s="596"/>
      <c r="AQ14" s="560"/>
      <c r="AR14" s="564"/>
      <c r="AS14" s="565"/>
      <c r="AT14" s="559"/>
      <c r="AU14" s="565"/>
      <c r="AV14" s="559"/>
      <c r="AW14" s="565"/>
      <c r="AX14" s="559"/>
    </row>
    <row r="15" spans="1:50" ht="22.5" x14ac:dyDescent="0.25">
      <c r="A15" s="575" t="s">
        <v>212</v>
      </c>
      <c r="B15" s="583" t="s">
        <v>213</v>
      </c>
      <c r="C15" s="581">
        <f t="shared" si="2"/>
        <v>3</v>
      </c>
      <c r="D15" s="582">
        <f t="shared" si="1"/>
        <v>0</v>
      </c>
      <c r="E15" s="583">
        <f t="shared" si="1"/>
        <v>3</v>
      </c>
      <c r="F15" s="584"/>
      <c r="G15" s="585"/>
      <c r="H15" s="584"/>
      <c r="I15" s="585"/>
      <c r="J15" s="584"/>
      <c r="K15" s="585"/>
      <c r="L15" s="584"/>
      <c r="M15" s="585"/>
      <c r="N15" s="584"/>
      <c r="O15" s="585"/>
      <c r="P15" s="584"/>
      <c r="Q15" s="585"/>
      <c r="R15" s="584"/>
      <c r="S15" s="585"/>
      <c r="T15" s="584"/>
      <c r="U15" s="585"/>
      <c r="V15" s="584"/>
      <c r="W15" s="585"/>
      <c r="X15" s="584"/>
      <c r="Y15" s="585"/>
      <c r="Z15" s="584"/>
      <c r="AA15" s="585"/>
      <c r="AB15" s="584"/>
      <c r="AC15" s="585"/>
      <c r="AD15" s="584"/>
      <c r="AE15" s="585">
        <v>1</v>
      </c>
      <c r="AF15" s="584"/>
      <c r="AG15" s="585">
        <v>1</v>
      </c>
      <c r="AH15" s="584"/>
      <c r="AI15" s="585"/>
      <c r="AJ15" s="584"/>
      <c r="AK15" s="585"/>
      <c r="AL15" s="578"/>
      <c r="AM15" s="593">
        <v>1</v>
      </c>
      <c r="AN15" s="594">
        <v>0</v>
      </c>
      <c r="AO15" s="595"/>
      <c r="AP15" s="596"/>
      <c r="AQ15" s="593">
        <v>1</v>
      </c>
      <c r="AR15" s="597">
        <v>0</v>
      </c>
      <c r="AS15" s="595">
        <v>0</v>
      </c>
      <c r="AT15" s="579">
        <v>0</v>
      </c>
      <c r="AU15" s="595">
        <v>0</v>
      </c>
      <c r="AV15" s="579">
        <v>0</v>
      </c>
      <c r="AW15" s="595">
        <v>0</v>
      </c>
      <c r="AX15" s="579">
        <v>0</v>
      </c>
    </row>
    <row r="16" spans="1:50" ht="22.5" x14ac:dyDescent="0.25">
      <c r="A16" s="633"/>
      <c r="B16" s="173" t="s">
        <v>214</v>
      </c>
      <c r="C16" s="634">
        <f t="shared" si="2"/>
        <v>3</v>
      </c>
      <c r="D16" s="635">
        <f t="shared" si="1"/>
        <v>1</v>
      </c>
      <c r="E16" s="173">
        <f t="shared" si="1"/>
        <v>2</v>
      </c>
      <c r="F16" s="636"/>
      <c r="G16" s="637"/>
      <c r="H16" s="636"/>
      <c r="I16" s="637"/>
      <c r="J16" s="636"/>
      <c r="K16" s="637"/>
      <c r="L16" s="636">
        <v>1</v>
      </c>
      <c r="M16" s="637"/>
      <c r="N16" s="636"/>
      <c r="O16" s="637"/>
      <c r="P16" s="636"/>
      <c r="Q16" s="637"/>
      <c r="R16" s="636"/>
      <c r="S16" s="637"/>
      <c r="T16" s="636"/>
      <c r="U16" s="637"/>
      <c r="V16" s="636"/>
      <c r="W16" s="637"/>
      <c r="X16" s="636"/>
      <c r="Y16" s="637"/>
      <c r="Z16" s="636"/>
      <c r="AA16" s="637"/>
      <c r="AB16" s="636"/>
      <c r="AC16" s="637"/>
      <c r="AD16" s="636"/>
      <c r="AE16" s="637"/>
      <c r="AF16" s="636"/>
      <c r="AG16" s="637"/>
      <c r="AH16" s="636"/>
      <c r="AI16" s="637">
        <v>1</v>
      </c>
      <c r="AJ16" s="636"/>
      <c r="AK16" s="637">
        <v>1</v>
      </c>
      <c r="AL16" s="636"/>
      <c r="AM16" s="638"/>
      <c r="AN16" s="639">
        <v>0</v>
      </c>
      <c r="AO16" s="640"/>
      <c r="AP16" s="641"/>
      <c r="AQ16" s="638">
        <v>0</v>
      </c>
      <c r="AR16" s="642">
        <v>0</v>
      </c>
      <c r="AS16" s="640">
        <v>0</v>
      </c>
      <c r="AT16" s="637">
        <v>0</v>
      </c>
      <c r="AU16" s="640">
        <v>0</v>
      </c>
      <c r="AV16" s="637">
        <v>0</v>
      </c>
      <c r="AW16" s="640">
        <v>0</v>
      </c>
      <c r="AX16" s="637">
        <v>0</v>
      </c>
    </row>
    <row r="17" spans="1:50" ht="22.5" x14ac:dyDescent="0.25">
      <c r="A17" s="633"/>
      <c r="B17" s="173" t="s">
        <v>215</v>
      </c>
      <c r="C17" s="634">
        <f t="shared" si="2"/>
        <v>2</v>
      </c>
      <c r="D17" s="635">
        <f t="shared" si="1"/>
        <v>0</v>
      </c>
      <c r="E17" s="173">
        <f>SUM(G17+I17+K17+M17+O17+Q17+S17+U17+W17+Y17+AA17+AC17+AE17+AG17+AI17+AK17+AM17)</f>
        <v>2</v>
      </c>
      <c r="F17" s="636"/>
      <c r="G17" s="637"/>
      <c r="H17" s="636"/>
      <c r="I17" s="637"/>
      <c r="J17" s="636"/>
      <c r="K17" s="637"/>
      <c r="L17" s="636"/>
      <c r="M17" s="637">
        <v>1</v>
      </c>
      <c r="N17" s="636"/>
      <c r="O17" s="637"/>
      <c r="P17" s="636"/>
      <c r="Q17" s="637"/>
      <c r="R17" s="636"/>
      <c r="S17" s="637"/>
      <c r="T17" s="636"/>
      <c r="U17" s="637"/>
      <c r="V17" s="636"/>
      <c r="W17" s="637">
        <v>1</v>
      </c>
      <c r="X17" s="636"/>
      <c r="Y17" s="637"/>
      <c r="Z17" s="636"/>
      <c r="AA17" s="637"/>
      <c r="AB17" s="636"/>
      <c r="AC17" s="637"/>
      <c r="AD17" s="636"/>
      <c r="AE17" s="637"/>
      <c r="AF17" s="636"/>
      <c r="AG17" s="637"/>
      <c r="AH17" s="636"/>
      <c r="AI17" s="637"/>
      <c r="AJ17" s="636"/>
      <c r="AK17" s="637"/>
      <c r="AL17" s="584"/>
      <c r="AM17" s="586"/>
      <c r="AN17" s="587">
        <v>1</v>
      </c>
      <c r="AO17" s="588"/>
      <c r="AP17" s="589"/>
      <c r="AQ17" s="643">
        <v>0</v>
      </c>
      <c r="AR17" s="642">
        <v>0</v>
      </c>
      <c r="AS17" s="640">
        <v>0</v>
      </c>
      <c r="AT17" s="637">
        <v>0</v>
      </c>
      <c r="AU17" s="640">
        <v>0</v>
      </c>
      <c r="AV17" s="637">
        <v>0</v>
      </c>
      <c r="AW17" s="640">
        <v>0</v>
      </c>
      <c r="AX17" s="637">
        <v>0</v>
      </c>
    </row>
    <row r="18" spans="1:50" ht="22.5" x14ac:dyDescent="0.25">
      <c r="A18" s="633"/>
      <c r="B18" s="174" t="s">
        <v>216</v>
      </c>
      <c r="C18" s="634">
        <f t="shared" si="2"/>
        <v>0</v>
      </c>
      <c r="D18" s="644"/>
      <c r="E18" s="173">
        <f>SUM(K18+M18+O18+Q18+S18+U18+W18+Y18+AA18+AC18+AE18+AG18+AI18+AK18+AM18)</f>
        <v>0</v>
      </c>
      <c r="F18" s="645"/>
      <c r="G18" s="646"/>
      <c r="H18" s="645"/>
      <c r="I18" s="646"/>
      <c r="J18" s="645"/>
      <c r="K18" s="637"/>
      <c r="L18" s="645"/>
      <c r="M18" s="637"/>
      <c r="N18" s="645"/>
      <c r="O18" s="637"/>
      <c r="P18" s="645"/>
      <c r="Q18" s="637"/>
      <c r="R18" s="645"/>
      <c r="S18" s="637"/>
      <c r="T18" s="645"/>
      <c r="U18" s="637"/>
      <c r="V18" s="645"/>
      <c r="W18" s="637"/>
      <c r="X18" s="645"/>
      <c r="Y18" s="637"/>
      <c r="Z18" s="645"/>
      <c r="AA18" s="637"/>
      <c r="AB18" s="645"/>
      <c r="AC18" s="637"/>
      <c r="AD18" s="645"/>
      <c r="AE18" s="646"/>
      <c r="AF18" s="645"/>
      <c r="AG18" s="646"/>
      <c r="AH18" s="645"/>
      <c r="AI18" s="646"/>
      <c r="AJ18" s="645"/>
      <c r="AK18" s="646"/>
      <c r="AL18" s="645"/>
      <c r="AM18" s="647"/>
      <c r="AN18" s="587">
        <v>0</v>
      </c>
      <c r="AO18" s="588"/>
      <c r="AP18" s="589"/>
      <c r="AQ18" s="648"/>
      <c r="AR18" s="649"/>
      <c r="AS18" s="650"/>
      <c r="AT18" s="585"/>
      <c r="AU18" s="588"/>
      <c r="AV18" s="585"/>
      <c r="AW18" s="588"/>
      <c r="AX18" s="585"/>
    </row>
    <row r="19" spans="1:50" ht="22.5" x14ac:dyDescent="0.25">
      <c r="A19" s="633"/>
      <c r="B19" s="173" t="s">
        <v>217</v>
      </c>
      <c r="C19" s="634">
        <f t="shared" si="2"/>
        <v>0</v>
      </c>
      <c r="D19" s="635">
        <f t="shared" ref="D19:E27" si="3">SUM(F19+H19+J19+L19+N19+P19+R19+T19+V19+X19+Z19+AB19+AD19+AF19+AH19+AJ19+AL19)</f>
        <v>0</v>
      </c>
      <c r="E19" s="173">
        <f t="shared" si="3"/>
        <v>0</v>
      </c>
      <c r="F19" s="636"/>
      <c r="G19" s="637"/>
      <c r="H19" s="636"/>
      <c r="I19" s="637"/>
      <c r="J19" s="636"/>
      <c r="K19" s="637"/>
      <c r="L19" s="636"/>
      <c r="M19" s="637"/>
      <c r="N19" s="636"/>
      <c r="O19" s="637"/>
      <c r="P19" s="636"/>
      <c r="Q19" s="637"/>
      <c r="R19" s="636"/>
      <c r="S19" s="637"/>
      <c r="T19" s="636"/>
      <c r="U19" s="637"/>
      <c r="V19" s="636"/>
      <c r="W19" s="637"/>
      <c r="X19" s="636"/>
      <c r="Y19" s="637"/>
      <c r="Z19" s="636"/>
      <c r="AA19" s="637"/>
      <c r="AB19" s="636"/>
      <c r="AC19" s="637"/>
      <c r="AD19" s="636"/>
      <c r="AE19" s="637"/>
      <c r="AF19" s="636"/>
      <c r="AG19" s="637"/>
      <c r="AH19" s="636"/>
      <c r="AI19" s="637"/>
      <c r="AJ19" s="636"/>
      <c r="AK19" s="637"/>
      <c r="AL19" s="636"/>
      <c r="AM19" s="638"/>
      <c r="AN19" s="587">
        <v>0</v>
      </c>
      <c r="AO19" s="588"/>
      <c r="AP19" s="589"/>
      <c r="AQ19" s="638">
        <v>0</v>
      </c>
      <c r="AR19" s="642">
        <v>0</v>
      </c>
      <c r="AS19" s="640">
        <v>0</v>
      </c>
      <c r="AT19" s="637">
        <v>0</v>
      </c>
      <c r="AU19" s="640">
        <v>0</v>
      </c>
      <c r="AV19" s="637">
        <v>0</v>
      </c>
      <c r="AW19" s="640">
        <v>0</v>
      </c>
      <c r="AX19" s="637">
        <v>0</v>
      </c>
    </row>
    <row r="20" spans="1:50" ht="22.5" x14ac:dyDescent="0.25">
      <c r="A20" s="633"/>
      <c r="B20" s="175" t="s">
        <v>218</v>
      </c>
      <c r="C20" s="634">
        <f t="shared" si="2"/>
        <v>0</v>
      </c>
      <c r="D20" s="635">
        <f t="shared" si="3"/>
        <v>0</v>
      </c>
      <c r="E20" s="173">
        <f t="shared" si="3"/>
        <v>0</v>
      </c>
      <c r="F20" s="636"/>
      <c r="G20" s="637"/>
      <c r="H20" s="636"/>
      <c r="I20" s="637"/>
      <c r="J20" s="636"/>
      <c r="K20" s="637"/>
      <c r="L20" s="636"/>
      <c r="M20" s="637"/>
      <c r="N20" s="636"/>
      <c r="O20" s="637"/>
      <c r="P20" s="636"/>
      <c r="Q20" s="637"/>
      <c r="R20" s="636"/>
      <c r="S20" s="637"/>
      <c r="T20" s="636"/>
      <c r="U20" s="637"/>
      <c r="V20" s="636"/>
      <c r="W20" s="637"/>
      <c r="X20" s="636"/>
      <c r="Y20" s="637"/>
      <c r="Z20" s="636"/>
      <c r="AA20" s="637"/>
      <c r="AB20" s="636"/>
      <c r="AC20" s="637"/>
      <c r="AD20" s="636"/>
      <c r="AE20" s="637"/>
      <c r="AF20" s="636"/>
      <c r="AG20" s="637"/>
      <c r="AH20" s="636"/>
      <c r="AI20" s="637"/>
      <c r="AJ20" s="636"/>
      <c r="AK20" s="637"/>
      <c r="AL20" s="636"/>
      <c r="AM20" s="638"/>
      <c r="AN20" s="587">
        <v>0</v>
      </c>
      <c r="AO20" s="588"/>
      <c r="AP20" s="589"/>
      <c r="AQ20" s="638"/>
      <c r="AR20" s="642"/>
      <c r="AS20" s="640"/>
      <c r="AT20" s="637"/>
      <c r="AU20" s="640"/>
      <c r="AV20" s="637"/>
      <c r="AW20" s="640"/>
      <c r="AX20" s="637"/>
    </row>
    <row r="21" spans="1:50" ht="33" x14ac:dyDescent="0.25">
      <c r="A21" s="633"/>
      <c r="B21" s="176" t="s">
        <v>219</v>
      </c>
      <c r="C21" s="634">
        <f t="shared" si="2"/>
        <v>0</v>
      </c>
      <c r="D21" s="635">
        <f t="shared" si="3"/>
        <v>0</v>
      </c>
      <c r="E21" s="173">
        <f t="shared" si="3"/>
        <v>0</v>
      </c>
      <c r="F21" s="636"/>
      <c r="G21" s="637"/>
      <c r="H21" s="636"/>
      <c r="I21" s="637"/>
      <c r="J21" s="636"/>
      <c r="K21" s="637"/>
      <c r="L21" s="636"/>
      <c r="M21" s="637"/>
      <c r="N21" s="636"/>
      <c r="O21" s="637"/>
      <c r="P21" s="636"/>
      <c r="Q21" s="637"/>
      <c r="R21" s="636"/>
      <c r="S21" s="637"/>
      <c r="T21" s="636"/>
      <c r="U21" s="637"/>
      <c r="V21" s="636"/>
      <c r="W21" s="637"/>
      <c r="X21" s="636"/>
      <c r="Y21" s="637"/>
      <c r="Z21" s="636"/>
      <c r="AA21" s="637"/>
      <c r="AB21" s="636"/>
      <c r="AC21" s="637"/>
      <c r="AD21" s="636"/>
      <c r="AE21" s="637"/>
      <c r="AF21" s="636"/>
      <c r="AG21" s="637"/>
      <c r="AH21" s="636"/>
      <c r="AI21" s="637"/>
      <c r="AJ21" s="636"/>
      <c r="AK21" s="637"/>
      <c r="AL21" s="636"/>
      <c r="AM21" s="638"/>
      <c r="AN21" s="587">
        <v>0</v>
      </c>
      <c r="AO21" s="588"/>
      <c r="AP21" s="589"/>
      <c r="AQ21" s="638"/>
      <c r="AR21" s="642"/>
      <c r="AS21" s="640"/>
      <c r="AT21" s="637"/>
      <c r="AU21" s="640"/>
      <c r="AV21" s="637"/>
      <c r="AW21" s="640"/>
      <c r="AX21" s="637"/>
    </row>
    <row r="22" spans="1:50" ht="43.5" x14ac:dyDescent="0.25">
      <c r="A22" s="580"/>
      <c r="B22" s="651" t="s">
        <v>220</v>
      </c>
      <c r="C22" s="652">
        <f t="shared" si="2"/>
        <v>0</v>
      </c>
      <c r="D22" s="653">
        <f>SUM(H22+J22+L22+N22+P22+R22+T22+V22+X22+Z22+AB22+AD22+AF22+AH22+AJ22+AL22)</f>
        <v>0</v>
      </c>
      <c r="E22" s="177">
        <f>SUM(I22+K22+M22+O22+Q22+S22+U22+W22+Y22+AA22+AC22+AE22+AG22+AI22+AK22+AM22)</f>
        <v>0</v>
      </c>
      <c r="F22" s="654"/>
      <c r="G22" s="655"/>
      <c r="H22" s="602"/>
      <c r="I22" s="603"/>
      <c r="J22" s="602"/>
      <c r="K22" s="603"/>
      <c r="L22" s="602"/>
      <c r="M22" s="603"/>
      <c r="N22" s="602"/>
      <c r="O22" s="603"/>
      <c r="P22" s="602"/>
      <c r="Q22" s="603"/>
      <c r="R22" s="602"/>
      <c r="S22" s="603"/>
      <c r="T22" s="602"/>
      <c r="U22" s="603"/>
      <c r="V22" s="602"/>
      <c r="W22" s="603"/>
      <c r="X22" s="602"/>
      <c r="Y22" s="603"/>
      <c r="Z22" s="602"/>
      <c r="AA22" s="603"/>
      <c r="AB22" s="602"/>
      <c r="AC22" s="603"/>
      <c r="AD22" s="602"/>
      <c r="AE22" s="603"/>
      <c r="AF22" s="602"/>
      <c r="AG22" s="603"/>
      <c r="AH22" s="602"/>
      <c r="AI22" s="603"/>
      <c r="AJ22" s="602"/>
      <c r="AK22" s="603"/>
      <c r="AL22" s="602"/>
      <c r="AM22" s="656"/>
      <c r="AN22" s="657">
        <v>0</v>
      </c>
      <c r="AO22" s="658"/>
      <c r="AP22" s="563"/>
      <c r="AQ22" s="656"/>
      <c r="AR22" s="659"/>
      <c r="AS22" s="660"/>
      <c r="AT22" s="603"/>
      <c r="AU22" s="660"/>
      <c r="AV22" s="603"/>
      <c r="AW22" s="660"/>
      <c r="AX22" s="603"/>
    </row>
    <row r="23" spans="1:50" ht="33" x14ac:dyDescent="0.25">
      <c r="A23" s="575" t="s">
        <v>221</v>
      </c>
      <c r="B23" s="661" t="s">
        <v>222</v>
      </c>
      <c r="C23" s="576">
        <f t="shared" si="2"/>
        <v>0</v>
      </c>
      <c r="D23" s="577">
        <f t="shared" si="3"/>
        <v>0</v>
      </c>
      <c r="E23" s="171">
        <f t="shared" si="3"/>
        <v>0</v>
      </c>
      <c r="F23" s="578"/>
      <c r="G23" s="579"/>
      <c r="H23" s="578"/>
      <c r="I23" s="579"/>
      <c r="J23" s="578"/>
      <c r="K23" s="579"/>
      <c r="L23" s="578"/>
      <c r="M23" s="579"/>
      <c r="N23" s="578"/>
      <c r="O23" s="579"/>
      <c r="P23" s="578"/>
      <c r="Q23" s="579"/>
      <c r="R23" s="578"/>
      <c r="S23" s="579"/>
      <c r="T23" s="578"/>
      <c r="U23" s="579"/>
      <c r="V23" s="578"/>
      <c r="W23" s="579"/>
      <c r="X23" s="578"/>
      <c r="Y23" s="579"/>
      <c r="Z23" s="578"/>
      <c r="AA23" s="579"/>
      <c r="AB23" s="578"/>
      <c r="AC23" s="579"/>
      <c r="AD23" s="578"/>
      <c r="AE23" s="579"/>
      <c r="AF23" s="578"/>
      <c r="AG23" s="579"/>
      <c r="AH23" s="578"/>
      <c r="AI23" s="579"/>
      <c r="AJ23" s="662"/>
      <c r="AK23" s="663"/>
      <c r="AL23" s="578"/>
      <c r="AM23" s="593"/>
      <c r="AN23" s="587">
        <v>0</v>
      </c>
      <c r="AO23" s="588"/>
      <c r="AP23" s="589">
        <v>1</v>
      </c>
      <c r="AQ23" s="593">
        <v>0</v>
      </c>
      <c r="AR23" s="597">
        <v>0</v>
      </c>
      <c r="AS23" s="595">
        <v>0</v>
      </c>
      <c r="AT23" s="579">
        <v>0</v>
      </c>
      <c r="AU23" s="595">
        <v>0</v>
      </c>
      <c r="AV23" s="579">
        <v>0</v>
      </c>
      <c r="AW23" s="595">
        <v>0</v>
      </c>
      <c r="AX23" s="579">
        <v>0</v>
      </c>
    </row>
    <row r="24" spans="1:50" ht="33" x14ac:dyDescent="0.25">
      <c r="A24" s="633"/>
      <c r="B24" s="173" t="s">
        <v>223</v>
      </c>
      <c r="C24" s="634">
        <f t="shared" si="2"/>
        <v>0</v>
      </c>
      <c r="D24" s="635">
        <f t="shared" si="3"/>
        <v>0</v>
      </c>
      <c r="E24" s="173">
        <f>SUM(G24+I24+K24+M24+O24+Q24+S24+U24+W24+Y24+AA24+AC24+AE24+AG24+AI24+AK24+AM24)</f>
        <v>0</v>
      </c>
      <c r="F24" s="636"/>
      <c r="G24" s="637"/>
      <c r="H24" s="636"/>
      <c r="I24" s="637"/>
      <c r="J24" s="636"/>
      <c r="K24" s="637"/>
      <c r="L24" s="636"/>
      <c r="M24" s="637"/>
      <c r="N24" s="636"/>
      <c r="O24" s="637"/>
      <c r="P24" s="636"/>
      <c r="Q24" s="637"/>
      <c r="R24" s="636"/>
      <c r="S24" s="637"/>
      <c r="T24" s="636"/>
      <c r="U24" s="637"/>
      <c r="V24" s="636"/>
      <c r="W24" s="637"/>
      <c r="X24" s="636"/>
      <c r="Y24" s="637"/>
      <c r="Z24" s="636"/>
      <c r="AA24" s="637"/>
      <c r="AB24" s="636"/>
      <c r="AC24" s="637"/>
      <c r="AD24" s="636"/>
      <c r="AE24" s="637"/>
      <c r="AF24" s="636"/>
      <c r="AG24" s="637"/>
      <c r="AH24" s="636"/>
      <c r="AI24" s="637"/>
      <c r="AJ24" s="602"/>
      <c r="AK24" s="603"/>
      <c r="AL24" s="636"/>
      <c r="AM24" s="638"/>
      <c r="AN24" s="587">
        <v>1</v>
      </c>
      <c r="AO24" s="588"/>
      <c r="AP24" s="589"/>
      <c r="AQ24" s="638">
        <v>0</v>
      </c>
      <c r="AR24" s="642">
        <v>0</v>
      </c>
      <c r="AS24" s="640">
        <v>0</v>
      </c>
      <c r="AT24" s="637">
        <v>0</v>
      </c>
      <c r="AU24" s="640">
        <v>0</v>
      </c>
      <c r="AV24" s="637">
        <v>0</v>
      </c>
      <c r="AW24" s="640">
        <v>0</v>
      </c>
      <c r="AX24" s="637">
        <v>0</v>
      </c>
    </row>
    <row r="25" spans="1:50" ht="33" x14ac:dyDescent="0.25">
      <c r="A25" s="633"/>
      <c r="B25" s="177" t="s">
        <v>224</v>
      </c>
      <c r="C25" s="652">
        <f>SUM(D25+E25)</f>
        <v>0</v>
      </c>
      <c r="D25" s="653">
        <f>SUM(F25+H25+J25+L25+N25+P25+R25+T25+V25+X25+Z25+AB25+AD25+AF25+AH25+AJ25+AL25)</f>
        <v>0</v>
      </c>
      <c r="E25" s="177">
        <f>SUM(G25+I25+K25+M25+O25+Q25+S25+U25+W25+Y25+AA25+AC25+AE25+AG25+AI25+AK25+AM25)</f>
        <v>0</v>
      </c>
      <c r="F25" s="602"/>
      <c r="G25" s="603"/>
      <c r="H25" s="602"/>
      <c r="I25" s="603"/>
      <c r="J25" s="602"/>
      <c r="K25" s="603"/>
      <c r="L25" s="602"/>
      <c r="M25" s="603"/>
      <c r="N25" s="602"/>
      <c r="O25" s="603"/>
      <c r="P25" s="602"/>
      <c r="Q25" s="603"/>
      <c r="R25" s="602"/>
      <c r="S25" s="603"/>
      <c r="T25" s="602"/>
      <c r="U25" s="603"/>
      <c r="V25" s="602"/>
      <c r="W25" s="603"/>
      <c r="X25" s="602"/>
      <c r="Y25" s="603"/>
      <c r="Z25" s="602"/>
      <c r="AA25" s="603"/>
      <c r="AB25" s="602"/>
      <c r="AC25" s="603"/>
      <c r="AD25" s="602"/>
      <c r="AE25" s="603"/>
      <c r="AF25" s="602"/>
      <c r="AG25" s="603"/>
      <c r="AH25" s="602"/>
      <c r="AI25" s="603"/>
      <c r="AJ25" s="602"/>
      <c r="AK25" s="603"/>
      <c r="AL25" s="602"/>
      <c r="AM25" s="656"/>
      <c r="AN25" s="639">
        <v>0</v>
      </c>
      <c r="AO25" s="640"/>
      <c r="AP25" s="641"/>
      <c r="AQ25" s="656">
        <v>0</v>
      </c>
      <c r="AR25" s="659">
        <v>0</v>
      </c>
      <c r="AS25" s="660">
        <v>0</v>
      </c>
      <c r="AT25" s="603">
        <v>0</v>
      </c>
      <c r="AU25" s="660">
        <v>0</v>
      </c>
      <c r="AV25" s="603">
        <v>0</v>
      </c>
      <c r="AW25" s="660">
        <v>0</v>
      </c>
      <c r="AX25" s="603">
        <v>0</v>
      </c>
    </row>
    <row r="26" spans="1:50" ht="33" x14ac:dyDescent="0.25">
      <c r="A26" s="633"/>
      <c r="B26" s="177" t="s">
        <v>225</v>
      </c>
      <c r="C26" s="652">
        <f>SUM(D26+E26)</f>
        <v>0</v>
      </c>
      <c r="D26" s="653">
        <f>SUM(F26+H26+J26+L26+N26+P26+R26+T26+V26+X26+Z26+AB26+AD26+AF26+AH26+AJ26+AL26)</f>
        <v>0</v>
      </c>
      <c r="E26" s="177">
        <f>SUM(G26+I26+K26+M26+O26+Q26+S26+U26+W26+Y26+AA26+AC26+AE26+AG26+AI26+AK26+AM26)</f>
        <v>0</v>
      </c>
      <c r="F26" s="602"/>
      <c r="G26" s="603"/>
      <c r="H26" s="602"/>
      <c r="I26" s="603"/>
      <c r="J26" s="602"/>
      <c r="K26" s="603"/>
      <c r="L26" s="602"/>
      <c r="M26" s="603"/>
      <c r="N26" s="602"/>
      <c r="O26" s="603"/>
      <c r="P26" s="602"/>
      <c r="Q26" s="603"/>
      <c r="R26" s="602"/>
      <c r="S26" s="603"/>
      <c r="T26" s="602"/>
      <c r="U26" s="603"/>
      <c r="V26" s="602"/>
      <c r="W26" s="603"/>
      <c r="X26" s="602"/>
      <c r="Y26" s="603"/>
      <c r="Z26" s="602"/>
      <c r="AA26" s="603"/>
      <c r="AB26" s="602"/>
      <c r="AC26" s="603"/>
      <c r="AD26" s="602"/>
      <c r="AE26" s="603"/>
      <c r="AF26" s="602"/>
      <c r="AG26" s="603"/>
      <c r="AH26" s="602"/>
      <c r="AI26" s="603"/>
      <c r="AJ26" s="602"/>
      <c r="AK26" s="603"/>
      <c r="AL26" s="602"/>
      <c r="AM26" s="656"/>
      <c r="AN26" s="664">
        <v>1</v>
      </c>
      <c r="AO26" s="665"/>
      <c r="AP26" s="666"/>
      <c r="AQ26" s="656">
        <v>0</v>
      </c>
      <c r="AR26" s="659">
        <v>0</v>
      </c>
      <c r="AS26" s="660">
        <v>0</v>
      </c>
      <c r="AT26" s="603">
        <v>0</v>
      </c>
      <c r="AU26" s="660">
        <v>0</v>
      </c>
      <c r="AV26" s="603">
        <v>0</v>
      </c>
      <c r="AW26" s="660">
        <v>0</v>
      </c>
      <c r="AX26" s="603">
        <v>0</v>
      </c>
    </row>
    <row r="27" spans="1:50" ht="33" x14ac:dyDescent="0.25">
      <c r="A27" s="580"/>
      <c r="B27" s="172" t="s">
        <v>226</v>
      </c>
      <c r="C27" s="598">
        <f t="shared" si="2"/>
        <v>0</v>
      </c>
      <c r="D27" s="599">
        <f t="shared" si="3"/>
        <v>0</v>
      </c>
      <c r="E27" s="172">
        <f t="shared" si="3"/>
        <v>0</v>
      </c>
      <c r="F27" s="600"/>
      <c r="G27" s="601"/>
      <c r="H27" s="600"/>
      <c r="I27" s="601"/>
      <c r="J27" s="600"/>
      <c r="K27" s="601"/>
      <c r="L27" s="600"/>
      <c r="M27" s="601"/>
      <c r="N27" s="600"/>
      <c r="O27" s="601"/>
      <c r="P27" s="600"/>
      <c r="Q27" s="601"/>
      <c r="R27" s="600"/>
      <c r="S27" s="601"/>
      <c r="T27" s="600"/>
      <c r="U27" s="601"/>
      <c r="V27" s="600"/>
      <c r="W27" s="601"/>
      <c r="X27" s="600"/>
      <c r="Y27" s="601"/>
      <c r="Z27" s="600"/>
      <c r="AA27" s="601"/>
      <c r="AB27" s="600"/>
      <c r="AC27" s="601"/>
      <c r="AD27" s="600"/>
      <c r="AE27" s="601"/>
      <c r="AF27" s="600"/>
      <c r="AG27" s="601"/>
      <c r="AH27" s="600"/>
      <c r="AI27" s="601"/>
      <c r="AJ27" s="600"/>
      <c r="AK27" s="601"/>
      <c r="AL27" s="600"/>
      <c r="AM27" s="667"/>
      <c r="AN27" s="657">
        <v>3</v>
      </c>
      <c r="AO27" s="658"/>
      <c r="AP27" s="563">
        <v>1</v>
      </c>
      <c r="AQ27" s="667">
        <v>0</v>
      </c>
      <c r="AR27" s="668">
        <v>0</v>
      </c>
      <c r="AS27" s="658">
        <v>0</v>
      </c>
      <c r="AT27" s="601">
        <v>0</v>
      </c>
      <c r="AU27" s="658">
        <v>0</v>
      </c>
      <c r="AV27" s="601">
        <v>0</v>
      </c>
      <c r="AW27" s="658">
        <v>0</v>
      </c>
      <c r="AX27" s="601">
        <v>0</v>
      </c>
    </row>
    <row r="28" spans="1:50" ht="33" x14ac:dyDescent="0.25">
      <c r="A28" s="575" t="s">
        <v>227</v>
      </c>
      <c r="B28" s="171" t="s">
        <v>228</v>
      </c>
      <c r="C28" s="576">
        <f t="shared" si="2"/>
        <v>0</v>
      </c>
      <c r="D28" s="577">
        <f>SUM(F28+H28+J28+L28+N28)</f>
        <v>0</v>
      </c>
      <c r="E28" s="171">
        <f>SUM(G28+I28+K28+M28+O28)</f>
        <v>0</v>
      </c>
      <c r="F28" s="578"/>
      <c r="G28" s="579"/>
      <c r="H28" s="578"/>
      <c r="I28" s="579"/>
      <c r="J28" s="578"/>
      <c r="K28" s="579"/>
      <c r="L28" s="578"/>
      <c r="M28" s="579"/>
      <c r="N28" s="578"/>
      <c r="O28" s="579"/>
      <c r="P28" s="669"/>
      <c r="Q28" s="670"/>
      <c r="R28" s="670"/>
      <c r="S28" s="670"/>
      <c r="T28" s="670"/>
      <c r="U28" s="670"/>
      <c r="V28" s="670"/>
      <c r="W28" s="670"/>
      <c r="X28" s="670"/>
      <c r="Y28" s="670"/>
      <c r="Z28" s="670"/>
      <c r="AA28" s="670"/>
      <c r="AB28" s="670"/>
      <c r="AC28" s="670"/>
      <c r="AD28" s="670"/>
      <c r="AE28" s="670"/>
      <c r="AF28" s="670"/>
      <c r="AG28" s="670"/>
      <c r="AH28" s="670"/>
      <c r="AI28" s="670"/>
      <c r="AJ28" s="670"/>
      <c r="AK28" s="670"/>
      <c r="AL28" s="670"/>
      <c r="AM28" s="671"/>
      <c r="AN28" s="594">
        <v>1</v>
      </c>
      <c r="AO28" s="595"/>
      <c r="AP28" s="596"/>
      <c r="AQ28" s="593">
        <v>0</v>
      </c>
      <c r="AR28" s="672"/>
      <c r="AS28" s="595">
        <v>0</v>
      </c>
      <c r="AT28" s="579">
        <v>0</v>
      </c>
      <c r="AU28" s="595">
        <v>0</v>
      </c>
      <c r="AV28" s="579">
        <v>0</v>
      </c>
      <c r="AW28" s="595">
        <v>0</v>
      </c>
      <c r="AX28" s="579">
        <v>0</v>
      </c>
    </row>
    <row r="29" spans="1:50" ht="54" x14ac:dyDescent="0.25">
      <c r="A29" s="633"/>
      <c r="B29" s="173" t="s">
        <v>229</v>
      </c>
      <c r="C29" s="634">
        <f t="shared" si="2"/>
        <v>0</v>
      </c>
      <c r="D29" s="635">
        <f t="shared" ref="D29:E31" si="4">SUM(F29+H29+J29+L29+N29)</f>
        <v>0</v>
      </c>
      <c r="E29" s="173">
        <f t="shared" si="4"/>
        <v>0</v>
      </c>
      <c r="F29" s="636"/>
      <c r="G29" s="637"/>
      <c r="H29" s="636"/>
      <c r="I29" s="637"/>
      <c r="J29" s="636"/>
      <c r="K29" s="637"/>
      <c r="L29" s="636"/>
      <c r="M29" s="637"/>
      <c r="N29" s="636"/>
      <c r="O29" s="637"/>
      <c r="P29" s="673"/>
      <c r="Q29" s="674"/>
      <c r="R29" s="674"/>
      <c r="S29" s="674"/>
      <c r="T29" s="674"/>
      <c r="U29" s="674"/>
      <c r="V29" s="674"/>
      <c r="W29" s="674"/>
      <c r="X29" s="674"/>
      <c r="Y29" s="674"/>
      <c r="Z29" s="674"/>
      <c r="AA29" s="674"/>
      <c r="AB29" s="674"/>
      <c r="AC29" s="674"/>
      <c r="AD29" s="674"/>
      <c r="AE29" s="674"/>
      <c r="AF29" s="674"/>
      <c r="AG29" s="674"/>
      <c r="AH29" s="674"/>
      <c r="AI29" s="674"/>
      <c r="AJ29" s="674"/>
      <c r="AK29" s="674"/>
      <c r="AL29" s="674"/>
      <c r="AM29" s="675"/>
      <c r="AN29" s="587">
        <v>0</v>
      </c>
      <c r="AO29" s="588"/>
      <c r="AP29" s="589"/>
      <c r="AQ29" s="638">
        <v>0</v>
      </c>
      <c r="AR29" s="676"/>
      <c r="AS29" s="640">
        <v>0</v>
      </c>
      <c r="AT29" s="637">
        <v>0</v>
      </c>
      <c r="AU29" s="640">
        <v>0</v>
      </c>
      <c r="AV29" s="637">
        <v>0</v>
      </c>
      <c r="AW29" s="640">
        <v>0</v>
      </c>
      <c r="AX29" s="637">
        <v>0</v>
      </c>
    </row>
    <row r="30" spans="1:50" ht="54" x14ac:dyDescent="0.25">
      <c r="A30" s="633"/>
      <c r="B30" s="173" t="s">
        <v>230</v>
      </c>
      <c r="C30" s="634">
        <f t="shared" si="2"/>
        <v>0</v>
      </c>
      <c r="D30" s="635">
        <f t="shared" si="4"/>
        <v>0</v>
      </c>
      <c r="E30" s="173">
        <f t="shared" si="4"/>
        <v>0</v>
      </c>
      <c r="F30" s="636"/>
      <c r="G30" s="637"/>
      <c r="H30" s="636"/>
      <c r="I30" s="637"/>
      <c r="J30" s="636"/>
      <c r="K30" s="637"/>
      <c r="L30" s="636"/>
      <c r="M30" s="637"/>
      <c r="N30" s="636"/>
      <c r="O30" s="637"/>
      <c r="P30" s="673"/>
      <c r="Q30" s="674"/>
      <c r="R30" s="674"/>
      <c r="S30" s="674"/>
      <c r="T30" s="674"/>
      <c r="U30" s="674"/>
      <c r="V30" s="674"/>
      <c r="W30" s="674"/>
      <c r="X30" s="674"/>
      <c r="Y30" s="674"/>
      <c r="Z30" s="674"/>
      <c r="AA30" s="674"/>
      <c r="AB30" s="674"/>
      <c r="AC30" s="674"/>
      <c r="AD30" s="674"/>
      <c r="AE30" s="674"/>
      <c r="AF30" s="674"/>
      <c r="AG30" s="674"/>
      <c r="AH30" s="674"/>
      <c r="AI30" s="674"/>
      <c r="AJ30" s="674"/>
      <c r="AK30" s="674"/>
      <c r="AL30" s="674"/>
      <c r="AM30" s="675"/>
      <c r="AN30" s="587">
        <v>0</v>
      </c>
      <c r="AO30" s="588"/>
      <c r="AP30" s="589"/>
      <c r="AQ30" s="638">
        <v>0</v>
      </c>
      <c r="AR30" s="676"/>
      <c r="AS30" s="640">
        <v>0</v>
      </c>
      <c r="AT30" s="637">
        <v>0</v>
      </c>
      <c r="AU30" s="640">
        <v>0</v>
      </c>
      <c r="AV30" s="637">
        <v>0</v>
      </c>
      <c r="AW30" s="640">
        <v>0</v>
      </c>
      <c r="AX30" s="637">
        <v>0</v>
      </c>
    </row>
    <row r="31" spans="1:50" ht="148.5" x14ac:dyDescent="0.25">
      <c r="A31" s="580"/>
      <c r="B31" s="172" t="s">
        <v>231</v>
      </c>
      <c r="C31" s="598">
        <f t="shared" si="2"/>
        <v>0</v>
      </c>
      <c r="D31" s="599">
        <f t="shared" si="4"/>
        <v>0</v>
      </c>
      <c r="E31" s="172">
        <f t="shared" si="4"/>
        <v>0</v>
      </c>
      <c r="F31" s="600"/>
      <c r="G31" s="601"/>
      <c r="H31" s="600"/>
      <c r="I31" s="601"/>
      <c r="J31" s="600"/>
      <c r="K31" s="601"/>
      <c r="L31" s="600"/>
      <c r="M31" s="601"/>
      <c r="N31" s="600"/>
      <c r="O31" s="601"/>
      <c r="P31" s="677"/>
      <c r="Q31" s="678"/>
      <c r="R31" s="678"/>
      <c r="S31" s="678"/>
      <c r="T31" s="678"/>
      <c r="U31" s="678"/>
      <c r="V31" s="678"/>
      <c r="W31" s="678"/>
      <c r="X31" s="678"/>
      <c r="Y31" s="678"/>
      <c r="Z31" s="678"/>
      <c r="AA31" s="678"/>
      <c r="AB31" s="678"/>
      <c r="AC31" s="678"/>
      <c r="AD31" s="678"/>
      <c r="AE31" s="678"/>
      <c r="AF31" s="678"/>
      <c r="AG31" s="678"/>
      <c r="AH31" s="678"/>
      <c r="AI31" s="678"/>
      <c r="AJ31" s="678"/>
      <c r="AK31" s="678"/>
      <c r="AL31" s="678"/>
      <c r="AM31" s="679"/>
      <c r="AN31" s="587">
        <v>1</v>
      </c>
      <c r="AO31" s="588"/>
      <c r="AP31" s="680"/>
      <c r="AQ31" s="667">
        <v>0</v>
      </c>
      <c r="AR31" s="681"/>
      <c r="AS31" s="658">
        <v>0</v>
      </c>
      <c r="AT31" s="601">
        <v>0</v>
      </c>
      <c r="AU31" s="658">
        <v>0</v>
      </c>
      <c r="AV31" s="601">
        <v>0</v>
      </c>
      <c r="AW31" s="658">
        <v>0</v>
      </c>
      <c r="AX31" s="601">
        <v>0</v>
      </c>
    </row>
    <row r="32" spans="1:50" ht="33" x14ac:dyDescent="0.25">
      <c r="A32" s="575" t="s">
        <v>232</v>
      </c>
      <c r="B32" s="682" t="s">
        <v>233</v>
      </c>
      <c r="C32" s="581">
        <f t="shared" si="2"/>
        <v>0</v>
      </c>
      <c r="D32" s="582">
        <f t="shared" ref="D32:E50" si="5">SUM(F32+H32+J32+L32+N32+P32+R32+T32+V32+X32+Z32+AB32+AD32+AF32+AH32+AJ32+AL32)</f>
        <v>0</v>
      </c>
      <c r="E32" s="583">
        <f>SUM(G32+I32+K32+M32+O32+Q32+S32+U32+W32+Y32+AA32+AC32+AE32+AG32+AI32+AK32+AM32)</f>
        <v>0</v>
      </c>
      <c r="F32" s="584"/>
      <c r="G32" s="585"/>
      <c r="H32" s="584"/>
      <c r="I32" s="585"/>
      <c r="J32" s="584"/>
      <c r="K32" s="585"/>
      <c r="L32" s="584"/>
      <c r="M32" s="585"/>
      <c r="N32" s="584"/>
      <c r="O32" s="585"/>
      <c r="P32" s="584"/>
      <c r="Q32" s="585"/>
      <c r="R32" s="584"/>
      <c r="S32" s="585"/>
      <c r="T32" s="584"/>
      <c r="U32" s="585"/>
      <c r="V32" s="584"/>
      <c r="W32" s="585"/>
      <c r="X32" s="584"/>
      <c r="Y32" s="585"/>
      <c r="Z32" s="584"/>
      <c r="AA32" s="585"/>
      <c r="AB32" s="584"/>
      <c r="AC32" s="585"/>
      <c r="AD32" s="584"/>
      <c r="AE32" s="585"/>
      <c r="AF32" s="584"/>
      <c r="AG32" s="585"/>
      <c r="AH32" s="584"/>
      <c r="AI32" s="585"/>
      <c r="AJ32" s="584"/>
      <c r="AK32" s="585"/>
      <c r="AL32" s="584"/>
      <c r="AM32" s="683"/>
      <c r="AN32" s="595">
        <v>0</v>
      </c>
      <c r="AO32" s="684"/>
      <c r="AP32" s="683"/>
      <c r="AQ32" s="586">
        <v>0</v>
      </c>
      <c r="AR32" s="649">
        <v>0</v>
      </c>
      <c r="AS32" s="595">
        <v>0</v>
      </c>
      <c r="AT32" s="637">
        <v>0</v>
      </c>
      <c r="AU32" s="640">
        <v>0</v>
      </c>
      <c r="AV32" s="637">
        <v>0</v>
      </c>
      <c r="AW32" s="640">
        <v>0</v>
      </c>
      <c r="AX32" s="637">
        <v>0</v>
      </c>
    </row>
    <row r="33" spans="1:50" ht="22.5" x14ac:dyDescent="0.25">
      <c r="A33" s="633"/>
      <c r="B33" s="178" t="s">
        <v>234</v>
      </c>
      <c r="C33" s="634">
        <f t="shared" si="2"/>
        <v>0</v>
      </c>
      <c r="D33" s="635">
        <f t="shared" si="5"/>
        <v>0</v>
      </c>
      <c r="E33" s="173">
        <f t="shared" si="5"/>
        <v>0</v>
      </c>
      <c r="F33" s="636"/>
      <c r="G33" s="637"/>
      <c r="H33" s="636"/>
      <c r="I33" s="637"/>
      <c r="J33" s="636"/>
      <c r="K33" s="637"/>
      <c r="L33" s="636"/>
      <c r="M33" s="637"/>
      <c r="N33" s="636"/>
      <c r="O33" s="637"/>
      <c r="P33" s="636"/>
      <c r="Q33" s="637"/>
      <c r="R33" s="636"/>
      <c r="S33" s="637"/>
      <c r="T33" s="636"/>
      <c r="U33" s="637"/>
      <c r="V33" s="636"/>
      <c r="W33" s="637"/>
      <c r="X33" s="636"/>
      <c r="Y33" s="637"/>
      <c r="Z33" s="636"/>
      <c r="AA33" s="637"/>
      <c r="AB33" s="636"/>
      <c r="AC33" s="637"/>
      <c r="AD33" s="636"/>
      <c r="AE33" s="637"/>
      <c r="AF33" s="636"/>
      <c r="AG33" s="637"/>
      <c r="AH33" s="636"/>
      <c r="AI33" s="637"/>
      <c r="AJ33" s="636"/>
      <c r="AK33" s="637"/>
      <c r="AL33" s="636"/>
      <c r="AM33" s="685"/>
      <c r="AN33" s="640">
        <v>0</v>
      </c>
      <c r="AO33" s="686"/>
      <c r="AP33" s="685"/>
      <c r="AQ33" s="638">
        <v>0</v>
      </c>
      <c r="AR33" s="642">
        <v>0</v>
      </c>
      <c r="AS33" s="640">
        <v>0</v>
      </c>
      <c r="AT33" s="637">
        <v>0</v>
      </c>
      <c r="AU33" s="640">
        <v>0</v>
      </c>
      <c r="AV33" s="637">
        <v>0</v>
      </c>
      <c r="AW33" s="640">
        <v>0</v>
      </c>
      <c r="AX33" s="637">
        <v>0</v>
      </c>
    </row>
    <row r="34" spans="1:50" ht="22.5" x14ac:dyDescent="0.25">
      <c r="A34" s="633"/>
      <c r="B34" s="174" t="s">
        <v>235</v>
      </c>
      <c r="C34" s="634">
        <f t="shared" si="2"/>
        <v>0</v>
      </c>
      <c r="D34" s="635">
        <f t="shared" si="5"/>
        <v>0</v>
      </c>
      <c r="E34" s="173">
        <f t="shared" si="5"/>
        <v>0</v>
      </c>
      <c r="F34" s="636"/>
      <c r="G34" s="637"/>
      <c r="H34" s="636"/>
      <c r="I34" s="637"/>
      <c r="J34" s="636"/>
      <c r="K34" s="637"/>
      <c r="L34" s="636"/>
      <c r="M34" s="637"/>
      <c r="N34" s="636"/>
      <c r="O34" s="637"/>
      <c r="P34" s="636"/>
      <c r="Q34" s="637"/>
      <c r="R34" s="636"/>
      <c r="S34" s="637"/>
      <c r="T34" s="636"/>
      <c r="U34" s="637"/>
      <c r="V34" s="636"/>
      <c r="W34" s="637"/>
      <c r="X34" s="636"/>
      <c r="Y34" s="637"/>
      <c r="Z34" s="636"/>
      <c r="AA34" s="637"/>
      <c r="AB34" s="636"/>
      <c r="AC34" s="637"/>
      <c r="AD34" s="636"/>
      <c r="AE34" s="637"/>
      <c r="AF34" s="636"/>
      <c r="AG34" s="637"/>
      <c r="AH34" s="636"/>
      <c r="AI34" s="637"/>
      <c r="AJ34" s="636"/>
      <c r="AK34" s="637"/>
      <c r="AL34" s="636"/>
      <c r="AM34" s="685"/>
      <c r="AN34" s="640">
        <v>0</v>
      </c>
      <c r="AO34" s="686"/>
      <c r="AP34" s="685"/>
      <c r="AQ34" s="638">
        <v>0</v>
      </c>
      <c r="AR34" s="642">
        <v>0</v>
      </c>
      <c r="AS34" s="640">
        <v>0</v>
      </c>
      <c r="AT34" s="637">
        <v>0</v>
      </c>
      <c r="AU34" s="640">
        <v>0</v>
      </c>
      <c r="AV34" s="637">
        <v>0</v>
      </c>
      <c r="AW34" s="640">
        <v>0</v>
      </c>
      <c r="AX34" s="637">
        <v>0</v>
      </c>
    </row>
    <row r="35" spans="1:50" ht="43.5" x14ac:dyDescent="0.25">
      <c r="A35" s="633"/>
      <c r="B35" s="174" t="s">
        <v>236</v>
      </c>
      <c r="C35" s="581">
        <f t="shared" si="2"/>
        <v>1</v>
      </c>
      <c r="D35" s="582">
        <f t="shared" si="5"/>
        <v>0</v>
      </c>
      <c r="E35" s="583">
        <f t="shared" si="5"/>
        <v>1</v>
      </c>
      <c r="F35" s="636"/>
      <c r="G35" s="637"/>
      <c r="H35" s="636"/>
      <c r="I35" s="637"/>
      <c r="J35" s="636"/>
      <c r="K35" s="637"/>
      <c r="L35" s="636"/>
      <c r="M35" s="637"/>
      <c r="N35" s="636"/>
      <c r="O35" s="637"/>
      <c r="P35" s="636"/>
      <c r="Q35" s="637"/>
      <c r="R35" s="636"/>
      <c r="S35" s="637"/>
      <c r="T35" s="636"/>
      <c r="U35" s="637"/>
      <c r="V35" s="636"/>
      <c r="W35" s="637"/>
      <c r="X35" s="636"/>
      <c r="Y35" s="637"/>
      <c r="Z35" s="636"/>
      <c r="AA35" s="637"/>
      <c r="AB35" s="636"/>
      <c r="AC35" s="637"/>
      <c r="AD35" s="636"/>
      <c r="AE35" s="637">
        <v>1</v>
      </c>
      <c r="AF35" s="636"/>
      <c r="AG35" s="637"/>
      <c r="AH35" s="636"/>
      <c r="AI35" s="637"/>
      <c r="AJ35" s="636"/>
      <c r="AK35" s="637"/>
      <c r="AL35" s="636"/>
      <c r="AM35" s="685"/>
      <c r="AN35" s="640">
        <v>3</v>
      </c>
      <c r="AO35" s="686"/>
      <c r="AP35" s="685"/>
      <c r="AQ35" s="638">
        <v>0</v>
      </c>
      <c r="AR35" s="642">
        <v>0</v>
      </c>
      <c r="AS35" s="640">
        <v>0</v>
      </c>
      <c r="AT35" s="637">
        <v>0</v>
      </c>
      <c r="AU35" s="640">
        <v>0</v>
      </c>
      <c r="AV35" s="637">
        <v>0</v>
      </c>
      <c r="AW35" s="640">
        <v>0</v>
      </c>
      <c r="AX35" s="637">
        <v>0</v>
      </c>
    </row>
    <row r="36" spans="1:50" ht="33" x14ac:dyDescent="0.25">
      <c r="A36" s="580"/>
      <c r="B36" s="687" t="s">
        <v>237</v>
      </c>
      <c r="C36" s="621">
        <f t="shared" si="2"/>
        <v>3</v>
      </c>
      <c r="D36" s="622">
        <f t="shared" si="5"/>
        <v>0</v>
      </c>
      <c r="E36" s="557">
        <f t="shared" si="5"/>
        <v>3</v>
      </c>
      <c r="F36" s="636"/>
      <c r="G36" s="637"/>
      <c r="H36" s="636"/>
      <c r="I36" s="637"/>
      <c r="J36" s="636"/>
      <c r="K36" s="637"/>
      <c r="L36" s="636"/>
      <c r="M36" s="637"/>
      <c r="N36" s="636"/>
      <c r="O36" s="637"/>
      <c r="P36" s="636"/>
      <c r="Q36" s="637">
        <v>2</v>
      </c>
      <c r="R36" s="636"/>
      <c r="S36" s="637"/>
      <c r="T36" s="636"/>
      <c r="U36" s="637"/>
      <c r="V36" s="636"/>
      <c r="W36" s="637"/>
      <c r="X36" s="636"/>
      <c r="Y36" s="637"/>
      <c r="Z36" s="636"/>
      <c r="AA36" s="637"/>
      <c r="AB36" s="636"/>
      <c r="AC36" s="637"/>
      <c r="AD36" s="636"/>
      <c r="AE36" s="637"/>
      <c r="AF36" s="636"/>
      <c r="AG36" s="637"/>
      <c r="AH36" s="636"/>
      <c r="AI36" s="637"/>
      <c r="AJ36" s="636"/>
      <c r="AK36" s="637">
        <v>1</v>
      </c>
      <c r="AL36" s="600"/>
      <c r="AM36" s="680"/>
      <c r="AN36" s="658">
        <v>0</v>
      </c>
      <c r="AO36" s="688"/>
      <c r="AP36" s="680"/>
      <c r="AQ36" s="667">
        <v>0</v>
      </c>
      <c r="AR36" s="668">
        <v>0</v>
      </c>
      <c r="AS36" s="640">
        <v>0</v>
      </c>
      <c r="AT36" s="637">
        <v>0</v>
      </c>
      <c r="AU36" s="640">
        <v>0</v>
      </c>
      <c r="AV36" s="637">
        <v>0</v>
      </c>
      <c r="AW36" s="640">
        <v>0</v>
      </c>
      <c r="AX36" s="637">
        <v>0</v>
      </c>
    </row>
    <row r="37" spans="1:50" x14ac:dyDescent="0.25">
      <c r="A37" s="575" t="s">
        <v>238</v>
      </c>
      <c r="B37" s="661" t="s">
        <v>239</v>
      </c>
      <c r="C37" s="576">
        <f t="shared" si="2"/>
        <v>0</v>
      </c>
      <c r="D37" s="577">
        <f t="shared" si="5"/>
        <v>0</v>
      </c>
      <c r="E37" s="171">
        <f t="shared" si="5"/>
        <v>0</v>
      </c>
      <c r="F37" s="612"/>
      <c r="G37" s="620"/>
      <c r="H37" s="612"/>
      <c r="I37" s="620"/>
      <c r="J37" s="612"/>
      <c r="K37" s="620"/>
      <c r="L37" s="612"/>
      <c r="M37" s="620"/>
      <c r="N37" s="612"/>
      <c r="O37" s="620"/>
      <c r="P37" s="612"/>
      <c r="Q37" s="620"/>
      <c r="R37" s="578"/>
      <c r="S37" s="579"/>
      <c r="T37" s="578"/>
      <c r="U37" s="579"/>
      <c r="V37" s="578"/>
      <c r="W37" s="579"/>
      <c r="X37" s="578"/>
      <c r="Y37" s="579"/>
      <c r="Z37" s="578"/>
      <c r="AA37" s="579"/>
      <c r="AB37" s="578"/>
      <c r="AC37" s="579"/>
      <c r="AD37" s="578"/>
      <c r="AE37" s="579"/>
      <c r="AF37" s="578"/>
      <c r="AG37" s="579"/>
      <c r="AH37" s="578"/>
      <c r="AI37" s="579"/>
      <c r="AJ37" s="578"/>
      <c r="AK37" s="579"/>
      <c r="AL37" s="578"/>
      <c r="AM37" s="593"/>
      <c r="AN37" s="587">
        <v>1</v>
      </c>
      <c r="AO37" s="588"/>
      <c r="AP37" s="589"/>
      <c r="AQ37" s="670"/>
      <c r="AR37" s="672"/>
      <c r="AS37" s="595"/>
      <c r="AT37" s="579"/>
      <c r="AU37" s="615"/>
      <c r="AV37" s="620"/>
      <c r="AW37" s="595"/>
      <c r="AX37" s="579"/>
    </row>
    <row r="38" spans="1:50" x14ac:dyDescent="0.25">
      <c r="A38" s="633"/>
      <c r="B38" s="174" t="s">
        <v>240</v>
      </c>
      <c r="C38" s="581">
        <f t="shared" si="2"/>
        <v>0</v>
      </c>
      <c r="D38" s="582">
        <f t="shared" si="5"/>
        <v>0</v>
      </c>
      <c r="E38" s="583">
        <f t="shared" si="5"/>
        <v>0</v>
      </c>
      <c r="F38" s="689"/>
      <c r="G38" s="690"/>
      <c r="H38" s="689"/>
      <c r="I38" s="690"/>
      <c r="J38" s="689"/>
      <c r="K38" s="690"/>
      <c r="L38" s="689"/>
      <c r="M38" s="690"/>
      <c r="N38" s="689"/>
      <c r="O38" s="690"/>
      <c r="P38" s="689"/>
      <c r="Q38" s="690"/>
      <c r="R38" s="584"/>
      <c r="S38" s="585"/>
      <c r="T38" s="584"/>
      <c r="U38" s="585"/>
      <c r="V38" s="584"/>
      <c r="W38" s="585"/>
      <c r="X38" s="584"/>
      <c r="Y38" s="585"/>
      <c r="Z38" s="584"/>
      <c r="AA38" s="585"/>
      <c r="AB38" s="584"/>
      <c r="AC38" s="585"/>
      <c r="AD38" s="584"/>
      <c r="AE38" s="585"/>
      <c r="AF38" s="584"/>
      <c r="AG38" s="585"/>
      <c r="AH38" s="584"/>
      <c r="AI38" s="585"/>
      <c r="AJ38" s="584"/>
      <c r="AK38" s="585"/>
      <c r="AL38" s="584"/>
      <c r="AM38" s="586"/>
      <c r="AN38" s="587">
        <v>4</v>
      </c>
      <c r="AO38" s="588"/>
      <c r="AP38" s="589"/>
      <c r="AQ38" s="674"/>
      <c r="AR38" s="676"/>
      <c r="AS38" s="588"/>
      <c r="AT38" s="585"/>
      <c r="AU38" s="691"/>
      <c r="AV38" s="690"/>
      <c r="AW38" s="588"/>
      <c r="AX38" s="585"/>
    </row>
    <row r="39" spans="1:50" x14ac:dyDescent="0.25">
      <c r="A39" s="580"/>
      <c r="B39" s="692" t="s">
        <v>241</v>
      </c>
      <c r="C39" s="693">
        <f t="shared" si="2"/>
        <v>0</v>
      </c>
      <c r="D39" s="694">
        <f t="shared" si="5"/>
        <v>0</v>
      </c>
      <c r="E39" s="318">
        <f t="shared" si="5"/>
        <v>0</v>
      </c>
      <c r="F39" s="695"/>
      <c r="G39" s="696"/>
      <c r="H39" s="695"/>
      <c r="I39" s="696"/>
      <c r="J39" s="695"/>
      <c r="K39" s="696"/>
      <c r="L39" s="695"/>
      <c r="M39" s="696"/>
      <c r="N39" s="695"/>
      <c r="O39" s="696"/>
      <c r="P39" s="695"/>
      <c r="Q39" s="696"/>
      <c r="R39" s="627"/>
      <c r="S39" s="592"/>
      <c r="T39" s="627"/>
      <c r="U39" s="592"/>
      <c r="V39" s="627"/>
      <c r="W39" s="592"/>
      <c r="X39" s="627"/>
      <c r="Y39" s="592"/>
      <c r="Z39" s="627"/>
      <c r="AA39" s="592"/>
      <c r="AB39" s="627"/>
      <c r="AC39" s="592"/>
      <c r="AD39" s="627"/>
      <c r="AE39" s="592"/>
      <c r="AF39" s="627"/>
      <c r="AG39" s="592"/>
      <c r="AH39" s="627"/>
      <c r="AI39" s="592"/>
      <c r="AJ39" s="627"/>
      <c r="AK39" s="592"/>
      <c r="AL39" s="627"/>
      <c r="AM39" s="590"/>
      <c r="AN39" s="561">
        <v>0</v>
      </c>
      <c r="AO39" s="562"/>
      <c r="AP39" s="697"/>
      <c r="AQ39" s="678"/>
      <c r="AR39" s="681"/>
      <c r="AS39" s="562"/>
      <c r="AT39" s="592"/>
      <c r="AU39" s="698"/>
      <c r="AV39" s="696"/>
      <c r="AW39" s="562"/>
      <c r="AX39" s="592"/>
    </row>
    <row r="40" spans="1:50" x14ac:dyDescent="0.25">
      <c r="A40" s="699" t="s">
        <v>242</v>
      </c>
      <c r="B40" s="700"/>
      <c r="C40" s="576">
        <f>SUM(D40+E40)</f>
        <v>0</v>
      </c>
      <c r="D40" s="577">
        <f>SUM(F40+H40+J40+L40+N40+P40+R40+T40+V40+X40+Z40+AB40+AD40+AF40+AH40+AJ40+AL40)</f>
        <v>0</v>
      </c>
      <c r="E40" s="171">
        <f>SUM(G40+I40+K40+M40+O40+Q40+S40+U40+W40+Y40+AA40+AC40+AE40+AG40+AI40+AK40+AM40)</f>
        <v>0</v>
      </c>
      <c r="F40" s="578"/>
      <c r="G40" s="579"/>
      <c r="H40" s="578"/>
      <c r="I40" s="579"/>
      <c r="J40" s="578"/>
      <c r="K40" s="579"/>
      <c r="L40" s="578"/>
      <c r="M40" s="579"/>
      <c r="N40" s="578"/>
      <c r="O40" s="579"/>
      <c r="P40" s="578"/>
      <c r="Q40" s="579"/>
      <c r="R40" s="578"/>
      <c r="S40" s="579"/>
      <c r="T40" s="578"/>
      <c r="U40" s="579"/>
      <c r="V40" s="578"/>
      <c r="W40" s="579"/>
      <c r="X40" s="578"/>
      <c r="Y40" s="579"/>
      <c r="Z40" s="578"/>
      <c r="AA40" s="579"/>
      <c r="AB40" s="578"/>
      <c r="AC40" s="579"/>
      <c r="AD40" s="578"/>
      <c r="AE40" s="579"/>
      <c r="AF40" s="578"/>
      <c r="AG40" s="579"/>
      <c r="AH40" s="578"/>
      <c r="AI40" s="579"/>
      <c r="AJ40" s="578"/>
      <c r="AK40" s="579"/>
      <c r="AL40" s="578"/>
      <c r="AM40" s="593"/>
      <c r="AN40" s="594">
        <v>0</v>
      </c>
      <c r="AO40" s="595"/>
      <c r="AP40" s="596"/>
      <c r="AQ40" s="593"/>
      <c r="AR40" s="597"/>
      <c r="AS40" s="595"/>
      <c r="AT40" s="579"/>
      <c r="AU40" s="595"/>
      <c r="AV40" s="579"/>
      <c r="AW40" s="595"/>
      <c r="AX40" s="579"/>
    </row>
    <row r="41" spans="1:50" x14ac:dyDescent="0.25">
      <c r="A41" s="701" t="s">
        <v>243</v>
      </c>
      <c r="B41" s="384"/>
      <c r="C41" s="634">
        <f>SUM(D41+E41)</f>
        <v>4</v>
      </c>
      <c r="D41" s="635">
        <f>SUM(F41+H41+J41+L41+N41+P41+R41+T41+V41+X41+Z41+AB41+AD41+AF41+AH41+AJ41+AL41)</f>
        <v>1</v>
      </c>
      <c r="E41" s="173">
        <f>SUM(G41+I41+K41+M41+O41+Q41+S41+U41+W41+Y41+AA41+AC41+AE41+AG41+AI41+AK41+AM41)</f>
        <v>3</v>
      </c>
      <c r="F41" s="584"/>
      <c r="G41" s="585"/>
      <c r="H41" s="584"/>
      <c r="I41" s="585"/>
      <c r="J41" s="584">
        <v>1</v>
      </c>
      <c r="K41" s="585"/>
      <c r="L41" s="584"/>
      <c r="M41" s="585"/>
      <c r="N41" s="584"/>
      <c r="O41" s="585"/>
      <c r="P41" s="584"/>
      <c r="Q41" s="585">
        <v>1</v>
      </c>
      <c r="R41" s="584"/>
      <c r="S41" s="585">
        <v>1</v>
      </c>
      <c r="T41" s="584"/>
      <c r="U41" s="585">
        <v>1</v>
      </c>
      <c r="V41" s="584"/>
      <c r="W41" s="585"/>
      <c r="X41" s="584"/>
      <c r="Y41" s="585"/>
      <c r="Z41" s="584"/>
      <c r="AA41" s="585"/>
      <c r="AB41" s="584"/>
      <c r="AC41" s="585"/>
      <c r="AD41" s="584"/>
      <c r="AE41" s="585"/>
      <c r="AF41" s="584"/>
      <c r="AG41" s="585"/>
      <c r="AH41" s="584"/>
      <c r="AI41" s="585"/>
      <c r="AJ41" s="584"/>
      <c r="AK41" s="585"/>
      <c r="AL41" s="584"/>
      <c r="AM41" s="586"/>
      <c r="AN41" s="587">
        <v>0</v>
      </c>
      <c r="AO41" s="588"/>
      <c r="AP41" s="589"/>
      <c r="AQ41" s="586">
        <v>0</v>
      </c>
      <c r="AR41" s="649">
        <v>0</v>
      </c>
      <c r="AS41" s="588">
        <v>0</v>
      </c>
      <c r="AT41" s="585">
        <v>0</v>
      </c>
      <c r="AU41" s="588">
        <v>0</v>
      </c>
      <c r="AV41" s="585">
        <v>0</v>
      </c>
      <c r="AW41" s="588">
        <v>0</v>
      </c>
      <c r="AX41" s="585">
        <v>0</v>
      </c>
    </row>
    <row r="42" spans="1:50" x14ac:dyDescent="0.25">
      <c r="A42" s="702" t="s">
        <v>244</v>
      </c>
      <c r="B42" s="386"/>
      <c r="C42" s="634">
        <f t="shared" si="2"/>
        <v>0</v>
      </c>
      <c r="D42" s="635">
        <f t="shared" si="5"/>
        <v>0</v>
      </c>
      <c r="E42" s="173">
        <f t="shared" si="5"/>
        <v>0</v>
      </c>
      <c r="F42" s="636"/>
      <c r="G42" s="637"/>
      <c r="H42" s="636"/>
      <c r="I42" s="637"/>
      <c r="J42" s="636"/>
      <c r="K42" s="637"/>
      <c r="L42" s="636"/>
      <c r="M42" s="637"/>
      <c r="N42" s="636"/>
      <c r="O42" s="637"/>
      <c r="P42" s="636"/>
      <c r="Q42" s="637"/>
      <c r="R42" s="636"/>
      <c r="S42" s="637"/>
      <c r="T42" s="636"/>
      <c r="U42" s="637"/>
      <c r="V42" s="636"/>
      <c r="W42" s="637"/>
      <c r="X42" s="636"/>
      <c r="Y42" s="637"/>
      <c r="Z42" s="636"/>
      <c r="AA42" s="637"/>
      <c r="AB42" s="636"/>
      <c r="AC42" s="637"/>
      <c r="AD42" s="636"/>
      <c r="AE42" s="637"/>
      <c r="AF42" s="636"/>
      <c r="AG42" s="637"/>
      <c r="AH42" s="636"/>
      <c r="AI42" s="637"/>
      <c r="AJ42" s="636"/>
      <c r="AK42" s="637"/>
      <c r="AL42" s="636"/>
      <c r="AM42" s="638"/>
      <c r="AN42" s="587">
        <v>0</v>
      </c>
      <c r="AO42" s="588"/>
      <c r="AP42" s="589"/>
      <c r="AQ42" s="638"/>
      <c r="AR42" s="642"/>
      <c r="AS42" s="640"/>
      <c r="AT42" s="637"/>
      <c r="AU42" s="640"/>
      <c r="AV42" s="637"/>
      <c r="AW42" s="640"/>
      <c r="AX42" s="637"/>
    </row>
    <row r="43" spans="1:50" x14ac:dyDescent="0.25">
      <c r="A43" s="702" t="s">
        <v>245</v>
      </c>
      <c r="B43" s="386"/>
      <c r="C43" s="634">
        <f t="shared" si="2"/>
        <v>0</v>
      </c>
      <c r="D43" s="635">
        <f t="shared" si="5"/>
        <v>0</v>
      </c>
      <c r="E43" s="173">
        <f t="shared" si="5"/>
        <v>0</v>
      </c>
      <c r="F43" s="636"/>
      <c r="G43" s="637"/>
      <c r="H43" s="636"/>
      <c r="I43" s="637"/>
      <c r="J43" s="636"/>
      <c r="K43" s="637"/>
      <c r="L43" s="636"/>
      <c r="M43" s="637"/>
      <c r="N43" s="636"/>
      <c r="O43" s="637"/>
      <c r="P43" s="636"/>
      <c r="Q43" s="637"/>
      <c r="R43" s="636"/>
      <c r="S43" s="637"/>
      <c r="T43" s="636"/>
      <c r="U43" s="637"/>
      <c r="V43" s="636"/>
      <c r="W43" s="637"/>
      <c r="X43" s="636"/>
      <c r="Y43" s="637"/>
      <c r="Z43" s="636"/>
      <c r="AA43" s="637"/>
      <c r="AB43" s="636"/>
      <c r="AC43" s="637"/>
      <c r="AD43" s="636"/>
      <c r="AE43" s="637"/>
      <c r="AF43" s="636"/>
      <c r="AG43" s="637"/>
      <c r="AH43" s="636"/>
      <c r="AI43" s="637"/>
      <c r="AJ43" s="636"/>
      <c r="AK43" s="637"/>
      <c r="AL43" s="636"/>
      <c r="AM43" s="638"/>
      <c r="AN43" s="587">
        <v>0</v>
      </c>
      <c r="AO43" s="588"/>
      <c r="AP43" s="589"/>
      <c r="AQ43" s="638"/>
      <c r="AR43" s="642"/>
      <c r="AS43" s="640"/>
      <c r="AT43" s="637"/>
      <c r="AU43" s="640"/>
      <c r="AV43" s="637"/>
      <c r="AW43" s="640"/>
      <c r="AX43" s="637"/>
    </row>
    <row r="44" spans="1:50" x14ac:dyDescent="0.25">
      <c r="A44" s="703" t="s">
        <v>246</v>
      </c>
      <c r="B44" s="704"/>
      <c r="C44" s="598">
        <f t="shared" si="2"/>
        <v>2</v>
      </c>
      <c r="D44" s="599">
        <f t="shared" si="5"/>
        <v>0</v>
      </c>
      <c r="E44" s="172">
        <f t="shared" si="5"/>
        <v>2</v>
      </c>
      <c r="F44" s="636"/>
      <c r="G44" s="637"/>
      <c r="H44" s="636"/>
      <c r="I44" s="637"/>
      <c r="J44" s="636"/>
      <c r="K44" s="637"/>
      <c r="L44" s="636"/>
      <c r="M44" s="637"/>
      <c r="N44" s="636"/>
      <c r="O44" s="637"/>
      <c r="P44" s="636"/>
      <c r="Q44" s="637"/>
      <c r="R44" s="636"/>
      <c r="S44" s="637"/>
      <c r="T44" s="636"/>
      <c r="U44" s="637"/>
      <c r="V44" s="636"/>
      <c r="W44" s="637"/>
      <c r="X44" s="636"/>
      <c r="Y44" s="637"/>
      <c r="Z44" s="636"/>
      <c r="AA44" s="637"/>
      <c r="AB44" s="636"/>
      <c r="AC44" s="637"/>
      <c r="AD44" s="636"/>
      <c r="AE44" s="637"/>
      <c r="AF44" s="636"/>
      <c r="AG44" s="637"/>
      <c r="AH44" s="636"/>
      <c r="AI44" s="637">
        <v>2</v>
      </c>
      <c r="AJ44" s="636"/>
      <c r="AK44" s="637"/>
      <c r="AL44" s="636"/>
      <c r="AM44" s="638"/>
      <c r="AN44" s="587">
        <v>4</v>
      </c>
      <c r="AO44" s="588"/>
      <c r="AP44" s="589">
        <v>1</v>
      </c>
      <c r="AQ44" s="638">
        <v>0</v>
      </c>
      <c r="AR44" s="642">
        <v>0</v>
      </c>
      <c r="AS44" s="640">
        <v>0</v>
      </c>
      <c r="AT44" s="637">
        <v>0</v>
      </c>
      <c r="AU44" s="640">
        <v>0</v>
      </c>
      <c r="AV44" s="637">
        <v>0</v>
      </c>
      <c r="AW44" s="640">
        <v>0</v>
      </c>
      <c r="AX44" s="637">
        <v>0</v>
      </c>
    </row>
    <row r="45" spans="1:50" x14ac:dyDescent="0.25">
      <c r="A45" s="575" t="s">
        <v>247</v>
      </c>
      <c r="B45" s="682" t="s">
        <v>248</v>
      </c>
      <c r="C45" s="581">
        <f t="shared" si="2"/>
        <v>0</v>
      </c>
      <c r="D45" s="582">
        <f t="shared" si="5"/>
        <v>0</v>
      </c>
      <c r="E45" s="583">
        <f t="shared" si="5"/>
        <v>0</v>
      </c>
      <c r="F45" s="602"/>
      <c r="G45" s="603"/>
      <c r="H45" s="602"/>
      <c r="I45" s="603"/>
      <c r="J45" s="602"/>
      <c r="K45" s="603"/>
      <c r="L45" s="602"/>
      <c r="M45" s="603"/>
      <c r="N45" s="602"/>
      <c r="O45" s="603"/>
      <c r="P45" s="602"/>
      <c r="Q45" s="603"/>
      <c r="R45" s="602"/>
      <c r="S45" s="603"/>
      <c r="T45" s="602"/>
      <c r="U45" s="603"/>
      <c r="V45" s="602"/>
      <c r="W45" s="603"/>
      <c r="X45" s="602"/>
      <c r="Y45" s="603"/>
      <c r="Z45" s="602"/>
      <c r="AA45" s="603"/>
      <c r="AB45" s="602"/>
      <c r="AC45" s="603"/>
      <c r="AD45" s="602"/>
      <c r="AE45" s="603"/>
      <c r="AF45" s="602"/>
      <c r="AG45" s="603"/>
      <c r="AH45" s="602"/>
      <c r="AI45" s="603"/>
      <c r="AJ45" s="602"/>
      <c r="AK45" s="603"/>
      <c r="AL45" s="602"/>
      <c r="AM45" s="656"/>
      <c r="AN45" s="587">
        <v>0</v>
      </c>
      <c r="AO45" s="588"/>
      <c r="AP45" s="589"/>
      <c r="AQ45" s="656"/>
      <c r="AR45" s="659"/>
      <c r="AS45" s="660"/>
      <c r="AT45" s="603"/>
      <c r="AU45" s="660"/>
      <c r="AV45" s="603"/>
      <c r="AW45" s="660"/>
      <c r="AX45" s="603"/>
    </row>
    <row r="46" spans="1:50" x14ac:dyDescent="0.25">
      <c r="A46" s="633"/>
      <c r="B46" s="179" t="s">
        <v>249</v>
      </c>
      <c r="C46" s="634">
        <f t="shared" si="2"/>
        <v>0</v>
      </c>
      <c r="D46" s="635">
        <f t="shared" si="5"/>
        <v>0</v>
      </c>
      <c r="E46" s="173">
        <f t="shared" si="5"/>
        <v>0</v>
      </c>
      <c r="F46" s="602"/>
      <c r="G46" s="603"/>
      <c r="H46" s="602"/>
      <c r="I46" s="603"/>
      <c r="J46" s="602"/>
      <c r="K46" s="603"/>
      <c r="L46" s="602"/>
      <c r="M46" s="603"/>
      <c r="N46" s="602"/>
      <c r="O46" s="603"/>
      <c r="P46" s="602"/>
      <c r="Q46" s="603"/>
      <c r="R46" s="602"/>
      <c r="S46" s="603"/>
      <c r="T46" s="602"/>
      <c r="U46" s="603"/>
      <c r="V46" s="602"/>
      <c r="W46" s="603"/>
      <c r="X46" s="602"/>
      <c r="Y46" s="603"/>
      <c r="Z46" s="602"/>
      <c r="AA46" s="603"/>
      <c r="AB46" s="602"/>
      <c r="AC46" s="603"/>
      <c r="AD46" s="602"/>
      <c r="AE46" s="603"/>
      <c r="AF46" s="602"/>
      <c r="AG46" s="603"/>
      <c r="AH46" s="602"/>
      <c r="AI46" s="603"/>
      <c r="AJ46" s="602"/>
      <c r="AK46" s="603"/>
      <c r="AL46" s="602"/>
      <c r="AM46" s="656"/>
      <c r="AN46" s="587">
        <v>0</v>
      </c>
      <c r="AO46" s="588"/>
      <c r="AP46" s="589"/>
      <c r="AQ46" s="656"/>
      <c r="AR46" s="659"/>
      <c r="AS46" s="660"/>
      <c r="AT46" s="603"/>
      <c r="AU46" s="660"/>
      <c r="AV46" s="603"/>
      <c r="AW46" s="660"/>
      <c r="AX46" s="603"/>
    </row>
    <row r="47" spans="1:50" ht="22.5" x14ac:dyDescent="0.25">
      <c r="A47" s="633"/>
      <c r="B47" s="179" t="s">
        <v>250</v>
      </c>
      <c r="C47" s="634">
        <f t="shared" si="2"/>
        <v>0</v>
      </c>
      <c r="D47" s="635">
        <f t="shared" si="5"/>
        <v>0</v>
      </c>
      <c r="E47" s="173">
        <f t="shared" si="5"/>
        <v>0</v>
      </c>
      <c r="F47" s="602"/>
      <c r="G47" s="603"/>
      <c r="H47" s="602"/>
      <c r="I47" s="603"/>
      <c r="J47" s="602"/>
      <c r="K47" s="603"/>
      <c r="L47" s="602"/>
      <c r="M47" s="603"/>
      <c r="N47" s="602"/>
      <c r="O47" s="603"/>
      <c r="P47" s="602"/>
      <c r="Q47" s="603"/>
      <c r="R47" s="602"/>
      <c r="S47" s="603"/>
      <c r="T47" s="602"/>
      <c r="U47" s="603"/>
      <c r="V47" s="602"/>
      <c r="W47" s="603"/>
      <c r="X47" s="602"/>
      <c r="Y47" s="603"/>
      <c r="Z47" s="602"/>
      <c r="AA47" s="603"/>
      <c r="AB47" s="602"/>
      <c r="AC47" s="603"/>
      <c r="AD47" s="602"/>
      <c r="AE47" s="603"/>
      <c r="AF47" s="602"/>
      <c r="AG47" s="603"/>
      <c r="AH47" s="602"/>
      <c r="AI47" s="603"/>
      <c r="AJ47" s="602"/>
      <c r="AK47" s="603"/>
      <c r="AL47" s="602"/>
      <c r="AM47" s="656"/>
      <c r="AN47" s="587">
        <v>0</v>
      </c>
      <c r="AO47" s="588"/>
      <c r="AP47" s="589"/>
      <c r="AQ47" s="656"/>
      <c r="AR47" s="659"/>
      <c r="AS47" s="660"/>
      <c r="AT47" s="603"/>
      <c r="AU47" s="660"/>
      <c r="AV47" s="603"/>
      <c r="AW47" s="660"/>
      <c r="AX47" s="603"/>
    </row>
    <row r="48" spans="1:50" ht="43.5" x14ac:dyDescent="0.25">
      <c r="A48" s="633"/>
      <c r="B48" s="179" t="s">
        <v>251</v>
      </c>
      <c r="C48" s="634">
        <f t="shared" si="2"/>
        <v>0</v>
      </c>
      <c r="D48" s="635">
        <f t="shared" si="5"/>
        <v>0</v>
      </c>
      <c r="E48" s="173">
        <f t="shared" si="5"/>
        <v>0</v>
      </c>
      <c r="F48" s="602"/>
      <c r="G48" s="603"/>
      <c r="H48" s="602"/>
      <c r="I48" s="603"/>
      <c r="J48" s="602"/>
      <c r="K48" s="603"/>
      <c r="L48" s="602"/>
      <c r="M48" s="603"/>
      <c r="N48" s="602"/>
      <c r="O48" s="603"/>
      <c r="P48" s="602"/>
      <c r="Q48" s="603"/>
      <c r="R48" s="602"/>
      <c r="S48" s="603"/>
      <c r="T48" s="602"/>
      <c r="U48" s="603"/>
      <c r="V48" s="602"/>
      <c r="W48" s="603"/>
      <c r="X48" s="602"/>
      <c r="Y48" s="603"/>
      <c r="Z48" s="602"/>
      <c r="AA48" s="603"/>
      <c r="AB48" s="602"/>
      <c r="AC48" s="603"/>
      <c r="AD48" s="602"/>
      <c r="AE48" s="603"/>
      <c r="AF48" s="602"/>
      <c r="AG48" s="603"/>
      <c r="AH48" s="602"/>
      <c r="AI48" s="603"/>
      <c r="AJ48" s="602"/>
      <c r="AK48" s="603"/>
      <c r="AL48" s="602"/>
      <c r="AM48" s="656"/>
      <c r="AN48" s="587">
        <v>0</v>
      </c>
      <c r="AO48" s="588"/>
      <c r="AP48" s="589"/>
      <c r="AQ48" s="656"/>
      <c r="AR48" s="659"/>
      <c r="AS48" s="660"/>
      <c r="AT48" s="603"/>
      <c r="AU48" s="660"/>
      <c r="AV48" s="603"/>
      <c r="AW48" s="660"/>
      <c r="AX48" s="603"/>
    </row>
    <row r="49" spans="1:50" ht="64.5" x14ac:dyDescent="0.25">
      <c r="A49" s="580"/>
      <c r="B49" s="705" t="s">
        <v>252</v>
      </c>
      <c r="C49" s="598">
        <f t="shared" si="2"/>
        <v>0</v>
      </c>
      <c r="D49" s="599">
        <f t="shared" si="5"/>
        <v>0</v>
      </c>
      <c r="E49" s="172">
        <f t="shared" si="5"/>
        <v>0</v>
      </c>
      <c r="F49" s="600"/>
      <c r="G49" s="601"/>
      <c r="H49" s="600"/>
      <c r="I49" s="601"/>
      <c r="J49" s="600"/>
      <c r="K49" s="601"/>
      <c r="L49" s="600"/>
      <c r="M49" s="601"/>
      <c r="N49" s="600"/>
      <c r="O49" s="601"/>
      <c r="P49" s="600"/>
      <c r="Q49" s="601"/>
      <c r="R49" s="600"/>
      <c r="S49" s="601"/>
      <c r="T49" s="600"/>
      <c r="U49" s="601"/>
      <c r="V49" s="600"/>
      <c r="W49" s="601"/>
      <c r="X49" s="600"/>
      <c r="Y49" s="601"/>
      <c r="Z49" s="600"/>
      <c r="AA49" s="601"/>
      <c r="AB49" s="600"/>
      <c r="AC49" s="601"/>
      <c r="AD49" s="600"/>
      <c r="AE49" s="601"/>
      <c r="AF49" s="600"/>
      <c r="AG49" s="601"/>
      <c r="AH49" s="600"/>
      <c r="AI49" s="601"/>
      <c r="AJ49" s="600"/>
      <c r="AK49" s="601"/>
      <c r="AL49" s="600"/>
      <c r="AM49" s="667"/>
      <c r="AN49" s="657">
        <v>0</v>
      </c>
      <c r="AO49" s="658"/>
      <c r="AP49" s="563"/>
      <c r="AQ49" s="667"/>
      <c r="AR49" s="668"/>
      <c r="AS49" s="658"/>
      <c r="AT49" s="601"/>
      <c r="AU49" s="658"/>
      <c r="AV49" s="601"/>
      <c r="AW49" s="658"/>
      <c r="AX49" s="601"/>
    </row>
    <row r="50" spans="1:50" x14ac:dyDescent="0.25">
      <c r="A50" s="706" t="s">
        <v>253</v>
      </c>
      <c r="B50" s="707"/>
      <c r="C50" s="621">
        <f t="shared" si="2"/>
        <v>0</v>
      </c>
      <c r="D50" s="622">
        <f t="shared" si="5"/>
        <v>0</v>
      </c>
      <c r="E50" s="557">
        <f t="shared" si="5"/>
        <v>0</v>
      </c>
      <c r="F50" s="625"/>
      <c r="G50" s="626"/>
      <c r="H50" s="625"/>
      <c r="I50" s="626"/>
      <c r="J50" s="625"/>
      <c r="K50" s="626"/>
      <c r="L50" s="625"/>
      <c r="M50" s="626"/>
      <c r="N50" s="625"/>
      <c r="O50" s="626"/>
      <c r="P50" s="625"/>
      <c r="Q50" s="626"/>
      <c r="R50" s="625"/>
      <c r="S50" s="626"/>
      <c r="T50" s="625"/>
      <c r="U50" s="626"/>
      <c r="V50" s="625"/>
      <c r="W50" s="626"/>
      <c r="X50" s="625"/>
      <c r="Y50" s="626"/>
      <c r="Z50" s="625"/>
      <c r="AA50" s="626"/>
      <c r="AB50" s="625"/>
      <c r="AC50" s="626"/>
      <c r="AD50" s="625"/>
      <c r="AE50" s="626"/>
      <c r="AF50" s="625"/>
      <c r="AG50" s="626"/>
      <c r="AH50" s="625"/>
      <c r="AI50" s="626"/>
      <c r="AJ50" s="625"/>
      <c r="AK50" s="626"/>
      <c r="AL50" s="625"/>
      <c r="AM50" s="708"/>
      <c r="AN50" s="587">
        <v>0</v>
      </c>
      <c r="AO50" s="588"/>
      <c r="AP50" s="589"/>
      <c r="AQ50" s="708"/>
      <c r="AR50" s="709"/>
      <c r="AS50" s="665"/>
      <c r="AT50" s="626"/>
      <c r="AU50" s="665"/>
      <c r="AV50" s="626"/>
      <c r="AW50" s="665"/>
      <c r="AX50" s="626"/>
    </row>
    <row r="51" spans="1:50" x14ac:dyDescent="0.25">
      <c r="A51" s="710" t="s">
        <v>254</v>
      </c>
      <c r="B51" s="711"/>
      <c r="C51" s="598">
        <f>SUM(D51+E51)</f>
        <v>4</v>
      </c>
      <c r="D51" s="599">
        <f>SUM(F51+H51+J51+L51+N51+P51+R51+T51+V51+X51+Z51+AB51+AD51+AF51+AH51+AJ51+AL51)</f>
        <v>0</v>
      </c>
      <c r="E51" s="172">
        <f t="shared" ref="E51" si="6">SUM(G51+I51+K51+M51+O51+Q51+S51+U51+W51+Y51+AA51+AC51+AE51+AG51+AI51+AK51+AM51)</f>
        <v>4</v>
      </c>
      <c r="F51" s="600"/>
      <c r="G51" s="601"/>
      <c r="H51" s="600"/>
      <c r="I51" s="601"/>
      <c r="J51" s="600"/>
      <c r="K51" s="601"/>
      <c r="L51" s="600"/>
      <c r="M51" s="601"/>
      <c r="N51" s="600"/>
      <c r="O51" s="601">
        <v>1</v>
      </c>
      <c r="P51" s="600"/>
      <c r="Q51" s="601"/>
      <c r="R51" s="600"/>
      <c r="S51" s="601">
        <v>1</v>
      </c>
      <c r="T51" s="600"/>
      <c r="U51" s="601"/>
      <c r="V51" s="600"/>
      <c r="W51" s="601">
        <v>1</v>
      </c>
      <c r="X51" s="600"/>
      <c r="Y51" s="601">
        <v>0</v>
      </c>
      <c r="Z51" s="600"/>
      <c r="AA51" s="601">
        <v>1</v>
      </c>
      <c r="AB51" s="600"/>
      <c r="AC51" s="601"/>
      <c r="AD51" s="600"/>
      <c r="AE51" s="601"/>
      <c r="AF51" s="600"/>
      <c r="AG51" s="601"/>
      <c r="AH51" s="600"/>
      <c r="AI51" s="601"/>
      <c r="AJ51" s="600"/>
      <c r="AK51" s="601"/>
      <c r="AL51" s="600"/>
      <c r="AM51" s="667"/>
      <c r="AN51" s="561">
        <v>0</v>
      </c>
      <c r="AO51" s="562"/>
      <c r="AP51" s="697"/>
      <c r="AQ51" s="712">
        <v>0</v>
      </c>
      <c r="AR51" s="713">
        <v>0</v>
      </c>
      <c r="AS51" s="658">
        <v>0</v>
      </c>
      <c r="AT51" s="601">
        <v>0</v>
      </c>
      <c r="AU51" s="658">
        <v>0</v>
      </c>
      <c r="AV51" s="601">
        <v>0</v>
      </c>
      <c r="AW51" s="658">
        <v>0</v>
      </c>
      <c r="AX51" s="601">
        <v>0</v>
      </c>
    </row>
  </sheetData>
  <mergeCells count="47">
    <mergeCell ref="A43:B43"/>
    <mergeCell ref="A44:B44"/>
    <mergeCell ref="A45:A49"/>
    <mergeCell ref="A50:B50"/>
    <mergeCell ref="A51:B51"/>
    <mergeCell ref="A28:A31"/>
    <mergeCell ref="A32:A36"/>
    <mergeCell ref="A37:A39"/>
    <mergeCell ref="A40:B40"/>
    <mergeCell ref="A41:B41"/>
    <mergeCell ref="A42:B42"/>
    <mergeCell ref="A7:A8"/>
    <mergeCell ref="A9:A10"/>
    <mergeCell ref="A11:B11"/>
    <mergeCell ref="A12:A13"/>
    <mergeCell ref="A15:A22"/>
    <mergeCell ref="A23:A27"/>
    <mergeCell ref="AV1:AV2"/>
    <mergeCell ref="AW1:AW2"/>
    <mergeCell ref="AX1:AX2"/>
    <mergeCell ref="A3:B3"/>
    <mergeCell ref="A4:B4"/>
    <mergeCell ref="A5:A6"/>
    <mergeCell ref="AL1:AM1"/>
    <mergeCell ref="AN1:AP1"/>
    <mergeCell ref="AQ1:AQ2"/>
    <mergeCell ref="AR1:AR2"/>
    <mergeCell ref="AS1:AT1"/>
    <mergeCell ref="AU1:AU2"/>
    <mergeCell ref="Z1:AA1"/>
    <mergeCell ref="AB1:AC1"/>
    <mergeCell ref="AD1:AE1"/>
    <mergeCell ref="AF1:AG1"/>
    <mergeCell ref="AH1:AI1"/>
    <mergeCell ref="AJ1:AK1"/>
    <mergeCell ref="N1:O1"/>
    <mergeCell ref="P1:Q1"/>
    <mergeCell ref="R1:S1"/>
    <mergeCell ref="T1:U1"/>
    <mergeCell ref="V1:W1"/>
    <mergeCell ref="X1:Y1"/>
    <mergeCell ref="A1:B2"/>
    <mergeCell ref="C1:E1"/>
    <mergeCell ref="F1:G1"/>
    <mergeCell ref="H1:I1"/>
    <mergeCell ref="J1:K1"/>
    <mergeCell ref="L1:M1"/>
  </mergeCells>
  <dataValidations count="3">
    <dataValidation type="whole" operator="equal" allowBlank="1" showInputMessage="1" showErrorMessage="1" sqref="C4:AX4" xr:uid="{3F1B4312-5859-4CCE-BF94-60AA5B790B81}">
      <formula1>0</formula1>
    </dataValidation>
    <dataValidation type="whole" allowBlank="1" showInputMessage="1" showErrorMessage="1" sqref="F5:G51 H6:AX51" xr:uid="{0403CF60-9C86-4DE7-B6BC-03E0C0F6FB32}">
      <formula1>0</formula1>
      <formula2>9.99999999999999E+35</formula2>
    </dataValidation>
    <dataValidation type="whole" operator="greaterThanOrEqual" allowBlank="1" showInputMessage="1" showErrorMessage="1" sqref="H5:AX5 F3:AX3" xr:uid="{7CAEBD35-A6E2-402C-9165-2CB0B4F6C1DC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ANTIGUO</vt:lpstr>
      <vt:lpstr>NUEVO</vt:lpstr>
      <vt:lpstr>ALTAS</vt:lpstr>
      <vt:lpstr>CALCULO</vt:lpstr>
      <vt:lpstr>INGRESOS</vt:lpstr>
      <vt:lpstr>EGRESOS</vt:lpstr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Simón André Tobar Vergara</dc:creator>
  <cp:lastModifiedBy>Simón André Tobar Vergara</cp:lastModifiedBy>
  <dcterms:created xsi:type="dcterms:W3CDTF">2024-07-03T18:47:34Z</dcterms:created>
  <dcterms:modified xsi:type="dcterms:W3CDTF">2026-07-03T19:22:37Z</dcterms:modified>
</cp:coreProperties>
</file>